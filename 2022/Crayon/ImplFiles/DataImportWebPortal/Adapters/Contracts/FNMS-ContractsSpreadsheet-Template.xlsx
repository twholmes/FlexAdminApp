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20" yWindow="-120" windowWidth="29010" windowHeight="14160" activeTab="1"/>
  </bookViews>
  <sheets>
    <sheet name="Instructions" sheetId="9" r:id="rId1"/>
    <sheet name="Contracts" sheetId="8" r:id="rId2"/>
    <sheet name="References" sheetId="10" r:id="rId3"/>
  </sheets>
  <definedNames>
    <definedName name="_xlnm._FilterDatabase" localSheetId="1" hidden="1">Contracts!$A$1:$Z$1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6" i="8" l="1"/>
  <c r="Q26" i="8"/>
  <c r="R25" i="8"/>
  <c r="Q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R4" i="8"/>
  <c r="Q4" i="8"/>
  <c r="R3" i="8"/>
  <c r="Q3" i="8"/>
  <c r="R2" i="8"/>
  <c r="Q2" i="8"/>
</calcChain>
</file>

<file path=xl/sharedStrings.xml><?xml version="1.0" encoding="utf-8"?>
<sst xmlns="http://schemas.openxmlformats.org/spreadsheetml/2006/main" count="1005" uniqueCount="544">
  <si>
    <t>Location</t>
  </si>
  <si>
    <t>Comments</t>
  </si>
  <si>
    <t>VendorName</t>
  </si>
  <si>
    <t>VendorPhone</t>
  </si>
  <si>
    <t>VendorEmail</t>
  </si>
  <si>
    <t>VendorWebsite</t>
  </si>
  <si>
    <t>VendorAddressStreet</t>
  </si>
  <si>
    <t>VendorAddressCity</t>
  </si>
  <si>
    <t>VendorAddressState</t>
  </si>
  <si>
    <t>VendorAddressPostCode</t>
  </si>
  <si>
    <t>VendorAddressCountry</t>
  </si>
  <si>
    <t>MasterContractNo</t>
  </si>
  <si>
    <t xml:space="preserve">ContractName   </t>
  </si>
  <si>
    <t>ContractNo</t>
  </si>
  <si>
    <t>PurchaseProgram</t>
  </si>
  <si>
    <t>PreviousContractNo</t>
  </si>
  <si>
    <t>StartDate</t>
  </si>
  <si>
    <t>EndDate</t>
  </si>
  <si>
    <t>ReviewDate</t>
  </si>
  <si>
    <t>RenewalDate</t>
  </si>
  <si>
    <t>ContractStatusID</t>
  </si>
  <si>
    <t>ContractTypeID</t>
  </si>
  <si>
    <t>CorporateUnit</t>
  </si>
  <si>
    <t>CostCenter</t>
  </si>
  <si>
    <t>ContractNeverExpires</t>
  </si>
  <si>
    <t>Contract Value</t>
  </si>
  <si>
    <t>Oracle Corporation Australia Pty Limited</t>
  </si>
  <si>
    <t>Oracle Technical Support Services Contract - 2288499</t>
  </si>
  <si>
    <t>Oracle Master Agreement</t>
  </si>
  <si>
    <t>Active</t>
  </si>
  <si>
    <t>Software license</t>
  </si>
  <si>
    <t>Oracle Technical Support Services Contract - 4818115</t>
  </si>
  <si>
    <t>Oracle Technical Support Services Contract - 19268876</t>
  </si>
  <si>
    <t>Oracle Technical Support Services Contract - 5497111</t>
  </si>
  <si>
    <t>Oracle Technical Support Services Contract - 4296783</t>
  </si>
  <si>
    <t>Oracle Technical Support Services Contract - SUN-ANU-AX-A</t>
  </si>
  <si>
    <t>SUN-ANU-AX-A</t>
  </si>
  <si>
    <t>Oracle CSI Contract # (15470200) - SW Update License &amp; Support 062022</t>
  </si>
  <si>
    <t>Oracle Volume License</t>
  </si>
  <si>
    <t>Oracle CSI Contract # (17561345 (2288499)) - SW Update License &amp; Support 062022</t>
  </si>
  <si>
    <t>17561345 (Master # 2288499)</t>
  </si>
  <si>
    <t>Oracle CSI Contract # (17755731 (2288499)) - SW Update License &amp; Support 062022</t>
  </si>
  <si>
    <t>17755731 (Master # 2288499)</t>
  </si>
  <si>
    <t>Oracle CSI Contract # (14496004) - SW Update License &amp; Support 062022</t>
  </si>
  <si>
    <t>Oracle CSI Contract # (18064092) - SW Update License &amp; Support 062022</t>
  </si>
  <si>
    <t>Oracle CSI Contract # (18846129) - SW Update License &amp; Support 062022</t>
  </si>
  <si>
    <t>Oracle CSI Contract # (14495754) - SW Update License &amp; Support 062022</t>
  </si>
  <si>
    <t>Oracle CSI Contract # (17755731 (4818115)) - SW Update License &amp; Support 062022</t>
  </si>
  <si>
    <t>17755731 (Master # 4818115)</t>
  </si>
  <si>
    <t>Oracle CSI Contract # (17561345 (19268876)) - SW Update License &amp; Support 082022</t>
  </si>
  <si>
    <t>17561345 (Master # 19268876)</t>
  </si>
  <si>
    <t>Oracle CSI Contract # (17755731 (19268876)) - SW Update License &amp; Support 082022</t>
  </si>
  <si>
    <t>17755731 (Master # 19268876)</t>
  </si>
  <si>
    <t>Oracle CSI Contract # (18557629) - SW Update License &amp; Support 062022</t>
  </si>
  <si>
    <t>Oracle CSI Contract # (17507206) - SW Update License &amp; Support 062022</t>
  </si>
  <si>
    <t>Oracle CSI Contract # (18555685) - SW Update License &amp; Support 062022</t>
  </si>
  <si>
    <t>Oracle CSI Contract # (17148339) - HW Premier Support 062022</t>
  </si>
  <si>
    <t>Oracle Services Agreement</t>
  </si>
  <si>
    <t>Oracle CSI Contract # (18241165) - HW Premier Support 062022</t>
  </si>
  <si>
    <t>Oracle CSI Contract # (17033282) - HW Premier Support 062022</t>
  </si>
  <si>
    <t>Oracle CSI Contract # (17056927) - HW Premier Support 062022</t>
  </si>
  <si>
    <t>Oracle CSI Contract # (17247467) - HW Premier Support 062022</t>
  </si>
  <si>
    <t>Oracle CSI Contract # (18170761) - HW Premier Support 062022</t>
  </si>
  <si>
    <t>The below are the recommended guidelines to complete this vendor and contract import:</t>
  </si>
  <si>
    <t>Section</t>
  </si>
  <si>
    <t>Field Name</t>
  </si>
  <si>
    <t>Mandatory</t>
  </si>
  <si>
    <t>Will the adaptor create / update the property in FlexNet Manager Suite?</t>
  </si>
  <si>
    <t>Vendors</t>
  </si>
  <si>
    <t>No</t>
  </si>
  <si>
    <t>Yes</t>
  </si>
  <si>
    <t>Validate whether the vendor already exists in FlexNet Manager Suite. If yes, be sure to use the exact same value otherwise a new record will be created.</t>
  </si>
  <si>
    <t>Contracts</t>
  </si>
  <si>
    <t>Recommended</t>
  </si>
  <si>
    <t>Validate whether the contract number already exists in FlexNet Manager Suite. If yes, be sure to use the exact same value in order update / overwrite otherwise a new record will be created.</t>
  </si>
  <si>
    <t>Select a value from the drop down list.</t>
  </si>
  <si>
    <t>Validate whether the corporate unit already exists in FlexNet Manager Suite. If yes, be sure to use the exact same value otherwise a new record will be created. To create a branch, use "/" as a seperator eg. Sales/Marketing/Creative</t>
  </si>
  <si>
    <t>Validate whether the cost center already exists in FlexNet Manager Suite. If yes, be sure to use the exact same value otherwise a new record will be created. To create a branch, use "/" as a seperator eg. 5555/100057/98765</t>
  </si>
  <si>
    <t>Validate whether the location already exists in FlexNet Manager Suite. If yes, be sure to use the exact same value otherwise a new record will be created. To create a branch, use "/" as a seperator eg. Australia/Victoria/Melbourne</t>
  </si>
  <si>
    <t>Select a value from the drop down list. This will be a 'TRUE' or 'FALSE' value. TRUE = yes and FALSE = no.</t>
  </si>
  <si>
    <t xml:space="preserve">This is a free text field. </t>
  </si>
  <si>
    <t>This is a free text field. The operator can include the total contract value.</t>
  </si>
  <si>
    <t>Must be in DD/MM/YYYY format.</t>
  </si>
  <si>
    <t>ContractTypeDefaultValue</t>
  </si>
  <si>
    <t>General</t>
  </si>
  <si>
    <t>Lease</t>
  </si>
  <si>
    <t>Hardware Maintenance and Support</t>
  </si>
  <si>
    <t>Software License</t>
  </si>
  <si>
    <t>Software Maintenance and Support</t>
  </si>
  <si>
    <t>Blanket purchase</t>
  </si>
  <si>
    <t>Consulting services</t>
  </si>
  <si>
    <t>Insurance</t>
  </si>
  <si>
    <t>Rent</t>
  </si>
  <si>
    <t>Subscription</t>
  </si>
  <si>
    <t>Microsoft Business and Services Agreement</t>
  </si>
  <si>
    <t>Microsoft Select License Agreement</t>
  </si>
  <si>
    <t>Microsoft Select Plus Agreement</t>
  </si>
  <si>
    <t>Microsoft Select License Enrollment</t>
  </si>
  <si>
    <t>Microsoft Select Plus Affiliate</t>
  </si>
  <si>
    <t>Microsoft Enterprise Agreement</t>
  </si>
  <si>
    <t>Microsoft Enterprise Subscription Agreement</t>
  </si>
  <si>
    <t>DefaultValue</t>
  </si>
  <si>
    <t>Archived</t>
  </si>
  <si>
    <t>Draft</t>
  </si>
  <si>
    <t>Suspended</t>
  </si>
  <si>
    <t>Cancelled</t>
  </si>
  <si>
    <t>Expired</t>
  </si>
  <si>
    <t>Completed</t>
  </si>
  <si>
    <t>Closed</t>
  </si>
  <si>
    <t>PurchaseProgramID</t>
  </si>
  <si>
    <t>Name</t>
  </si>
  <si>
    <t>PublisherName</t>
  </si>
  <si>
    <t>Code</t>
  </si>
  <si>
    <t>Corel Contractual License</t>
  </si>
  <si>
    <t>Corel</t>
  </si>
  <si>
    <t>CCL</t>
  </si>
  <si>
    <t>Corel Transactional Licensing</t>
  </si>
  <si>
    <t>CTL</t>
  </si>
  <si>
    <t>IBM Passport Advantage</t>
  </si>
  <si>
    <t>Ibm</t>
  </si>
  <si>
    <t>PPA</t>
  </si>
  <si>
    <t>McAfee TSP Licensing Program</t>
  </si>
  <si>
    <t>Mcafee</t>
  </si>
  <si>
    <t>TSP</t>
  </si>
  <si>
    <t>Novell Corporate License Agreement</t>
  </si>
  <si>
    <t>Novell</t>
  </si>
  <si>
    <t>CLA</t>
  </si>
  <si>
    <t>Novell Master License Agreement</t>
  </si>
  <si>
    <t>MLA</t>
  </si>
  <si>
    <t>Novell Volume License Agreement</t>
  </si>
  <si>
    <t>VLA</t>
  </si>
  <si>
    <t>Symantec Elite</t>
  </si>
  <si>
    <t>Symantec</t>
  </si>
  <si>
    <t>ELITE</t>
  </si>
  <si>
    <t>Symantec Express</t>
  </si>
  <si>
    <t>EXPRESS</t>
  </si>
  <si>
    <t>Symantec Open Licensing Program</t>
  </si>
  <si>
    <t>OLP</t>
  </si>
  <si>
    <t>Symantec Rewards</t>
  </si>
  <si>
    <t>REWARDS</t>
  </si>
  <si>
    <t>Symantec Volume Licensing Program</t>
  </si>
  <si>
    <t>SVLP</t>
  </si>
  <si>
    <t>Vmware Purchasing Program</t>
  </si>
  <si>
    <t>Vmware</t>
  </si>
  <si>
    <t>VPP</t>
  </si>
  <si>
    <t>Macromedia Volume License Program</t>
  </si>
  <si>
    <t>Adobe Systems</t>
  </si>
  <si>
    <t>MVLP</t>
  </si>
  <si>
    <t>Symantec Enterprise Option</t>
  </si>
  <si>
    <t>SEOPT</t>
  </si>
  <si>
    <t>Symantec Enterprise VPA</t>
  </si>
  <si>
    <t>SEVPA</t>
  </si>
  <si>
    <t>Oracle</t>
  </si>
  <si>
    <t>OMA</t>
  </si>
  <si>
    <t>Oracle Unlimited Agreement</t>
  </si>
  <si>
    <t>OULA</t>
  </si>
  <si>
    <t>Oracle License and Services Agreement</t>
  </si>
  <si>
    <t>OLSA</t>
  </si>
  <si>
    <t>Adobe Enterprise Term Licensing Agreement</t>
  </si>
  <si>
    <t>ETLA</t>
  </si>
  <si>
    <t>Microsoft Products and Services Agreement</t>
  </si>
  <si>
    <t>Microsoft</t>
  </si>
  <si>
    <t>MPSA</t>
  </si>
  <si>
    <t>IBM Passport Advantage Express</t>
  </si>
  <si>
    <t>IBM</t>
  </si>
  <si>
    <t>PAE</t>
  </si>
  <si>
    <t>IBM Enterprise License Agreement</t>
  </si>
  <si>
    <t>ELA</t>
  </si>
  <si>
    <t>IBM Enterprise Software and Services Option</t>
  </si>
  <si>
    <t>ESSO</t>
  </si>
  <si>
    <t>Symantec Academic</t>
  </si>
  <si>
    <t>ACADEMIC</t>
  </si>
  <si>
    <t>Symantec Government</t>
  </si>
  <si>
    <t>GOVERNMENT</t>
  </si>
  <si>
    <t>VMware Academic Program</t>
  </si>
  <si>
    <t>VMware</t>
  </si>
  <si>
    <t>VMAP</t>
  </si>
  <si>
    <t>Enterprise License Agreement Program</t>
  </si>
  <si>
    <t>Citrix</t>
  </si>
  <si>
    <t xml:space="preserve">Government Education License Agreement Program </t>
  </si>
  <si>
    <t>GELA</t>
  </si>
  <si>
    <t>Value Incentive Plan</t>
  </si>
  <si>
    <t>Adobe</t>
  </si>
  <si>
    <t>VIP</t>
  </si>
  <si>
    <t>Learning Pass Agreement</t>
  </si>
  <si>
    <t>BMC</t>
  </si>
  <si>
    <t>LPA</t>
  </si>
  <si>
    <t>E-Flex Agreement</t>
  </si>
  <si>
    <t>Autodesk</t>
  </si>
  <si>
    <t>E-Flex</t>
  </si>
  <si>
    <t>Multi-Flex Agreement</t>
  </si>
  <si>
    <t>Multiflex</t>
  </si>
  <si>
    <t>Services Provider Licensing Agreement</t>
  </si>
  <si>
    <t>SPLA</t>
  </si>
  <si>
    <t>Individual Licenses</t>
  </si>
  <si>
    <t>INDIV</t>
  </si>
  <si>
    <t>Package Licenses</t>
  </si>
  <si>
    <t>PACK</t>
  </si>
  <si>
    <t>Government License Program</t>
  </si>
  <si>
    <t>CA</t>
  </si>
  <si>
    <t>GLP</t>
  </si>
  <si>
    <t>IBM Passport Advantage Express Program</t>
  </si>
  <si>
    <t>PPAE</t>
  </si>
  <si>
    <t>Open Value</t>
  </si>
  <si>
    <t>OV</t>
  </si>
  <si>
    <t>Open Value Subscription</t>
  </si>
  <si>
    <t>OVS</t>
  </si>
  <si>
    <t>Microsoft Online Subscription Program</t>
  </si>
  <si>
    <t>MOSP</t>
  </si>
  <si>
    <t>Select Plus</t>
  </si>
  <si>
    <t>SP</t>
  </si>
  <si>
    <t>Enterprise Subscription Agreement</t>
  </si>
  <si>
    <t>ESA</t>
  </si>
  <si>
    <t>SAP Open License Plan</t>
  </si>
  <si>
    <t>SAP</t>
  </si>
  <si>
    <t>Symantec Enterprise Options</t>
  </si>
  <si>
    <t>eFlex</t>
  </si>
  <si>
    <t>Symantec Academic Program</t>
  </si>
  <si>
    <t>SYMEDU</t>
  </si>
  <si>
    <t>Enterprise Purchasing Program</t>
  </si>
  <si>
    <t>EPP</t>
  </si>
  <si>
    <t>Cloud Credits Purchasing Program</t>
  </si>
  <si>
    <t>CCPP</t>
  </si>
  <si>
    <t>Transactional Purchasing Program</t>
  </si>
  <si>
    <t>TPP</t>
  </si>
  <si>
    <t>Education Enterprise Agreement</t>
  </si>
  <si>
    <t>EEA</t>
  </si>
  <si>
    <t>Delivery Service Partner</t>
  </si>
  <si>
    <t>DSP</t>
  </si>
  <si>
    <t>Forms Licensing Program</t>
  </si>
  <si>
    <t>FLP</t>
  </si>
  <si>
    <t>Symantec Security Value Program - Academic</t>
  </si>
  <si>
    <t>SVLP-Academic</t>
  </si>
  <si>
    <t>Symantec Value Government Program</t>
  </si>
  <si>
    <t>SVGP</t>
  </si>
  <si>
    <t>Global License Program</t>
  </si>
  <si>
    <t>Adobe Enterprise Agreement</t>
  </si>
  <si>
    <t>EA</t>
  </si>
  <si>
    <t>Symantec Express Academic</t>
  </si>
  <si>
    <t>EXP-AC</t>
  </si>
  <si>
    <t>Symantec Express Government</t>
  </si>
  <si>
    <t>EXP-GOV</t>
  </si>
  <si>
    <t>Symantec Value license Program - Government</t>
  </si>
  <si>
    <t>SVLP-GOV</t>
  </si>
  <si>
    <t>Acronis SPLA Program</t>
  </si>
  <si>
    <t>Acronis</t>
  </si>
  <si>
    <t>Enterprise Term License Agreement</t>
  </si>
  <si>
    <t>Autodesk Enterprise Token Flex</t>
  </si>
  <si>
    <t>T-Flex</t>
  </si>
  <si>
    <t>Enterprise Business Agreement</t>
  </si>
  <si>
    <t>EBA</t>
  </si>
  <si>
    <t>GSA Schedule</t>
  </si>
  <si>
    <t>GSA</t>
  </si>
  <si>
    <t>Corel Education License Program</t>
  </si>
  <si>
    <t>ELP</t>
  </si>
  <si>
    <t>Corel WinDVD Licensing</t>
  </si>
  <si>
    <t>WinDVD</t>
  </si>
  <si>
    <t>Enrollment for Education Solutions</t>
  </si>
  <si>
    <t>EES</t>
  </si>
  <si>
    <t>ISV Royalty Licensing Program</t>
  </si>
  <si>
    <t>ISV</t>
  </si>
  <si>
    <t>MSDN Academic Alliance</t>
  </si>
  <si>
    <t>MSDN-AA</t>
  </si>
  <si>
    <t>Enrollment for Core Infrastructure</t>
  </si>
  <si>
    <t>ECI</t>
  </si>
  <si>
    <t>Server and Cloud Enrollment</t>
  </si>
  <si>
    <t>SCE</t>
  </si>
  <si>
    <t>Enrollment for Application Platform</t>
  </si>
  <si>
    <t>EAP</t>
  </si>
  <si>
    <t>School License Agreement</t>
  </si>
  <si>
    <t>SLA</t>
  </si>
  <si>
    <t>Academic License Agreement</t>
  </si>
  <si>
    <t>ALA</t>
  </si>
  <si>
    <t>Oracle Cloud Services Agreement</t>
  </si>
  <si>
    <t>CSA</t>
  </si>
  <si>
    <t>Software License and Services Agreement</t>
  </si>
  <si>
    <t>SLSA</t>
  </si>
  <si>
    <t>Oracle Perpetual User License Agreement</t>
  </si>
  <si>
    <t>PULA</t>
  </si>
  <si>
    <t>Oracle Managed Cloud Services</t>
  </si>
  <si>
    <t>OMCS</t>
  </si>
  <si>
    <t>OSA</t>
  </si>
  <si>
    <t>Symantec Subscription &amp; Services Program</t>
  </si>
  <si>
    <t>SSP</t>
  </si>
  <si>
    <t>Volume Purchase Agreement</t>
  </si>
  <si>
    <t>VPA</t>
  </si>
  <si>
    <t>Oracle Enterprise License Agreement</t>
  </si>
  <si>
    <t>Data Processing Agreement</t>
  </si>
  <si>
    <t>DPA</t>
  </si>
  <si>
    <t>Microsoft School Enrollment</t>
  </si>
  <si>
    <t>MSE</t>
  </si>
  <si>
    <t>Microsoft Partner Network</t>
  </si>
  <si>
    <t>MPN</t>
  </si>
  <si>
    <t>Enterprise Enrollment</t>
  </si>
  <si>
    <t>EE</t>
  </si>
  <si>
    <t>Microsoft Enterprise Advantage</t>
  </si>
  <si>
    <t>EA-on-MPSA</t>
  </si>
  <si>
    <t>Volume License Program</t>
  </si>
  <si>
    <t>VLP</t>
  </si>
  <si>
    <t>Symantec Cross Territory Program</t>
  </si>
  <si>
    <t>XGEO</t>
  </si>
  <si>
    <t>Enterprise Service Provider</t>
  </si>
  <si>
    <t>XSP</t>
  </si>
  <si>
    <t>Citrix Education License Program</t>
  </si>
  <si>
    <t>CELP</t>
  </si>
  <si>
    <t>IBM Unlimited License Agreement</t>
  </si>
  <si>
    <t>IULA</t>
  </si>
  <si>
    <t>McAfee Perpetual Plus Program</t>
  </si>
  <si>
    <t>PPP</t>
  </si>
  <si>
    <t>Microsoft Cloud Agreement</t>
  </si>
  <si>
    <t>MCA</t>
  </si>
  <si>
    <t>Symantec Academic Subscription Program</t>
  </si>
  <si>
    <t>SASP</t>
  </si>
  <si>
    <t>EMC Enterprise License Agreement</t>
  </si>
  <si>
    <t>EMC</t>
  </si>
  <si>
    <t>EMC Volume Software License Agreement</t>
  </si>
  <si>
    <t>VSLA</t>
  </si>
  <si>
    <t>Red Hat Enterprise Agreement</t>
  </si>
  <si>
    <t>Red Hat</t>
  </si>
  <si>
    <t>Cisco Security Enterprise License Agreement</t>
  </si>
  <si>
    <t>Cisco</t>
  </si>
  <si>
    <t>MBSA</t>
  </si>
  <si>
    <t>McAfee Subscription Plus Program</t>
  </si>
  <si>
    <t>SPP</t>
  </si>
  <si>
    <t>Symantec Cloud Solution Provider</t>
  </si>
  <si>
    <t>CSP</t>
  </si>
  <si>
    <t>Volume Purchase Program for Education</t>
  </si>
  <si>
    <t>Apple</t>
  </si>
  <si>
    <t>VPPE</t>
  </si>
  <si>
    <t>Microsoft Campus and School Agreement</t>
  </si>
  <si>
    <t>MSCA</t>
  </si>
  <si>
    <t>Novell NSW Government Program</t>
  </si>
  <si>
    <t>NSW</t>
  </si>
  <si>
    <t>Novell Commonwealth Government Program</t>
  </si>
  <si>
    <t>GITC</t>
  </si>
  <si>
    <t>VMware Hybrid Purchasing Program</t>
  </si>
  <si>
    <t>HPP</t>
  </si>
  <si>
    <t>VMware Subscription Purchasing Program</t>
  </si>
  <si>
    <t>Autodesk Legacy Program</t>
  </si>
  <si>
    <t>ALP</t>
  </si>
  <si>
    <t>Citrix Service Provider Program</t>
  </si>
  <si>
    <t>CSPP</t>
  </si>
  <si>
    <t>VMware Solution Provider Program</t>
  </si>
  <si>
    <t>VSPP</t>
  </si>
  <si>
    <t>Oracle Cloud Managed Service Provider Program</t>
  </si>
  <si>
    <t>MSP</t>
  </si>
  <si>
    <t>Crystal Volume Licensing Program</t>
  </si>
  <si>
    <t>CVLP</t>
  </si>
  <si>
    <t>Certified Cloud and Service Provider Program</t>
  </si>
  <si>
    <t>CCSP</t>
  </si>
  <si>
    <t>Cisco Security Software Volume Purchasing Program</t>
  </si>
  <si>
    <t>SVP</t>
  </si>
  <si>
    <t>Veeam Cloud and Service Provider Program</t>
  </si>
  <si>
    <t>Veeam</t>
  </si>
  <si>
    <t>VCSP</t>
  </si>
  <si>
    <t>Volume License</t>
  </si>
  <si>
    <t>VOLUME</t>
  </si>
  <si>
    <t>Adobe Enterprise License Agreement</t>
  </si>
  <si>
    <t>Microsoft Volume License</t>
  </si>
  <si>
    <t>Absolute Software Volume License</t>
  </si>
  <si>
    <t>Absolute Software</t>
  </si>
  <si>
    <t>Trimble Volume License</t>
  </si>
  <si>
    <t>Trimble</t>
  </si>
  <si>
    <t>Apple Volume License</t>
  </si>
  <si>
    <t>Atlassian Volume License</t>
  </si>
  <si>
    <t>Atlassian</t>
  </si>
  <si>
    <t>Autodesk Volume License</t>
  </si>
  <si>
    <t>Avecto Volume License</t>
  </si>
  <si>
    <t>Avecto</t>
  </si>
  <si>
    <t>Bmc Volume License</t>
  </si>
  <si>
    <t>Bmc</t>
  </si>
  <si>
    <t>Cisco Volume License</t>
  </si>
  <si>
    <t>Citrix Volume License</t>
  </si>
  <si>
    <t>Commvault Volume License</t>
  </si>
  <si>
    <t>Commvault</t>
  </si>
  <si>
    <t>Corel Volume License</t>
  </si>
  <si>
    <t>Dell Volume License</t>
  </si>
  <si>
    <t>Dell</t>
  </si>
  <si>
    <t>EMC Volume License</t>
  </si>
  <si>
    <t>Hewlett Packard Volume License</t>
  </si>
  <si>
    <t>Hewlett Packard</t>
  </si>
  <si>
    <t>Hot Door Volume License</t>
  </si>
  <si>
    <t>Hot Door</t>
  </si>
  <si>
    <t>Investintech Volume License</t>
  </si>
  <si>
    <t>Investintech</t>
  </si>
  <si>
    <t>Jamf Software Volume License</t>
  </si>
  <si>
    <t>Jamf Software</t>
  </si>
  <si>
    <t>Marklogic Volume License</t>
  </si>
  <si>
    <t>Marklogic</t>
  </si>
  <si>
    <t>Minitab Volume License</t>
  </si>
  <si>
    <t>Minitab</t>
  </si>
  <si>
    <t>Polycom Volume License</t>
  </si>
  <si>
    <t>Polycom</t>
  </si>
  <si>
    <t>SAP Volume License</t>
  </si>
  <si>
    <t>Seagull Scientific Volume License</t>
  </si>
  <si>
    <t>Seagull Scientific</t>
  </si>
  <si>
    <t>Sharegate Volume License</t>
  </si>
  <si>
    <t>Sharegate</t>
  </si>
  <si>
    <t>SmartsheetÂ  Volume License</t>
  </si>
  <si>
    <t>SmartsheetÂ </t>
  </si>
  <si>
    <t>Tibco Software Volume License</t>
  </si>
  <si>
    <t>Tibco Software</t>
  </si>
  <si>
    <t>Symantec Cloud Partner Program</t>
  </si>
  <si>
    <t>CPP</t>
  </si>
  <si>
    <t>Autodesk Open Licensing Program</t>
  </si>
  <si>
    <t>AOLP</t>
  </si>
  <si>
    <t>VMware Enterprise Licensing Agreement</t>
  </si>
  <si>
    <t>Symantec Strategic Service Provider Program</t>
  </si>
  <si>
    <t>SSSP</t>
  </si>
  <si>
    <t>Symantec Value Program</t>
  </si>
  <si>
    <t>Value</t>
  </si>
  <si>
    <t>Cisco Transactional Licensing Program</t>
  </si>
  <si>
    <t>TLP</t>
  </si>
  <si>
    <t>Cisco Advantage Licensing Program</t>
  </si>
  <si>
    <t>Citrix U.S. Public Sector Program</t>
  </si>
  <si>
    <t>USPP</t>
  </si>
  <si>
    <t>Corel Freedom Graphics Subscription License</t>
  </si>
  <si>
    <t>FGSL</t>
  </si>
  <si>
    <t>Dell EMC Transformational License Agreement</t>
  </si>
  <si>
    <t>Dell EMC</t>
  </si>
  <si>
    <t>TLA</t>
  </si>
  <si>
    <t>Dell EMC Data Protection Subscription Licensing Program</t>
  </si>
  <si>
    <t>DPSLP</t>
  </si>
  <si>
    <t>Novell Volume License</t>
  </si>
  <si>
    <t>Commvault Solution Set Program</t>
  </si>
  <si>
    <t>CSSP</t>
  </si>
  <si>
    <t>Commvault Capacity Licensing Program</t>
  </si>
  <si>
    <t>CCLP</t>
  </si>
  <si>
    <t>Commvault Platform Licensing Program</t>
  </si>
  <si>
    <t>CPLP</t>
  </si>
  <si>
    <t>Investintech Volume Licensing Program</t>
  </si>
  <si>
    <t>McAfee Protect Plus Licensing Program</t>
  </si>
  <si>
    <t>PPLP</t>
  </si>
  <si>
    <t>Red Hat Volume License</t>
  </si>
  <si>
    <t>Techsmith Volume Licensing Program</t>
  </si>
  <si>
    <t>Techsmith</t>
  </si>
  <si>
    <t>TVLP</t>
  </si>
  <si>
    <t>Veritas Academic Licensing Program</t>
  </si>
  <si>
    <t>Veritas</t>
  </si>
  <si>
    <t>Veritas Corporate Licensing Program</t>
  </si>
  <si>
    <t>CLP</t>
  </si>
  <si>
    <t>Veritas Government Licensing Program</t>
  </si>
  <si>
    <t>Veritas Enterprise Flex License Agreement</t>
  </si>
  <si>
    <t>Veritas Volume Purchase Agreement</t>
  </si>
  <si>
    <t>Veritas Loyalty Licensing Program</t>
  </si>
  <si>
    <t>LLP</t>
  </si>
  <si>
    <t>Mcafee Volume License</t>
  </si>
  <si>
    <t>Techsmith Volume License</t>
  </si>
  <si>
    <t>Symantec Premier Value Program</t>
  </si>
  <si>
    <t>SPVP</t>
  </si>
  <si>
    <t>Symantec VOLUME License</t>
  </si>
  <si>
    <t>VMware VOLUME License</t>
  </si>
  <si>
    <t>Micro Focus Volume Purchase Account</t>
  </si>
  <si>
    <t>Micro Focus</t>
  </si>
  <si>
    <t>Micro Focus Novell Volume License Agreement</t>
  </si>
  <si>
    <t>Micro Focus Novell Corporate License Agreement</t>
  </si>
  <si>
    <t>Micro Focus VOLUME License</t>
  </si>
  <si>
    <t>Micro Focus Novell Master License Agreement</t>
  </si>
  <si>
    <t>Micro Focus Novell School License Agreement</t>
  </si>
  <si>
    <t>Veritas Academic</t>
  </si>
  <si>
    <t>Veritas Elite</t>
  </si>
  <si>
    <t>Veritas Express Academic</t>
  </si>
  <si>
    <t>Veritas Express Government</t>
  </si>
  <si>
    <t>Veritas Express</t>
  </si>
  <si>
    <t>Veritas Government</t>
  </si>
  <si>
    <t>Veritas Open Licensing Program</t>
  </si>
  <si>
    <t>Veritas Rewards</t>
  </si>
  <si>
    <t>Veritas Value license Program</t>
  </si>
  <si>
    <t>Veritas Cross Territory Program</t>
  </si>
  <si>
    <t>Veritas Enterprise Service Provider</t>
  </si>
  <si>
    <t>VMware Customer Purchasing Program</t>
  </si>
  <si>
    <t>Veritas Volume License</t>
  </si>
  <si>
    <t>Symantec Corporate Licensing Program</t>
  </si>
  <si>
    <t>Symantec Academic Licensing Program</t>
  </si>
  <si>
    <t>Kofax Volume License Agreement</t>
  </si>
  <si>
    <t>Kofax</t>
  </si>
  <si>
    <t>Kofax Volume License</t>
  </si>
  <si>
    <t>Developer Express Volume License</t>
  </si>
  <si>
    <t>Developer Express</t>
  </si>
  <si>
    <t>HCL Passport Advantage</t>
  </si>
  <si>
    <t>Hcl Technologies</t>
  </si>
  <si>
    <t>HPPA</t>
  </si>
  <si>
    <t>Jetbrains Volume License</t>
  </si>
  <si>
    <t>Jetbrains</t>
  </si>
  <si>
    <t>Quest Software Volume License</t>
  </si>
  <si>
    <t>Quest Software</t>
  </si>
  <si>
    <t>Winzip Computing WIZ Agrement</t>
  </si>
  <si>
    <t>Winzip Computing</t>
  </si>
  <si>
    <t>WIZ</t>
  </si>
  <si>
    <t>Winzip Computing Corel License Program</t>
  </si>
  <si>
    <t>Broadcom Volume License</t>
  </si>
  <si>
    <t>CA Technologies</t>
  </si>
  <si>
    <t>CA SLP Program</t>
  </si>
  <si>
    <t>SLP</t>
  </si>
  <si>
    <t>Community Edition License Agreement</t>
  </si>
  <si>
    <t>Activestate</t>
  </si>
  <si>
    <t>Juniper Networks Volume License</t>
  </si>
  <si>
    <t>Juniper Networks</t>
  </si>
  <si>
    <t>Tableau Volume License</t>
  </si>
  <si>
    <t>Tableau</t>
  </si>
  <si>
    <t>Red Gate Volume License</t>
  </si>
  <si>
    <t>Red Gate</t>
  </si>
  <si>
    <t>PTC Academic Licensing Program</t>
  </si>
  <si>
    <t>PTC</t>
  </si>
  <si>
    <t>Nuance Open License Program</t>
  </si>
  <si>
    <t>Nuance</t>
  </si>
  <si>
    <t>Nuance Volume Licence Program</t>
  </si>
  <si>
    <t>Nuance Volume License</t>
  </si>
  <si>
    <t>Nuance Volume License Agreement</t>
  </si>
  <si>
    <t>Condusiv Volume License</t>
  </si>
  <si>
    <t>Condusiv Technologies</t>
  </si>
  <si>
    <t>Highcharts Standard License Agreement</t>
  </si>
  <si>
    <t>Highcharts</t>
  </si>
  <si>
    <t>MindManager Enterprise License Program</t>
  </si>
  <si>
    <t>Mindjet</t>
  </si>
  <si>
    <t>Mindjet Academic Purchasing Program</t>
  </si>
  <si>
    <t>MAPP</t>
  </si>
  <si>
    <t>Mindjet Initial Purchase Level</t>
  </si>
  <si>
    <t>IPL</t>
  </si>
  <si>
    <t>Mindjet 5Plus License Program</t>
  </si>
  <si>
    <t>5PLUS</t>
  </si>
  <si>
    <t>Microsoft Select Agreement</t>
  </si>
  <si>
    <t>SELECT</t>
  </si>
  <si>
    <t>MSEA</t>
  </si>
  <si>
    <t>Microsoft Open Agreement</t>
  </si>
  <si>
    <t>OPEN</t>
  </si>
  <si>
    <t>Adobe Cumulative Licensing Program</t>
  </si>
  <si>
    <t>Adobe Transactional Licensing Program</t>
  </si>
  <si>
    <t>Adobe Site License Program</t>
  </si>
  <si>
    <t>Acronis Licensing Program</t>
  </si>
  <si>
    <t>Attachmate Volume Purchase Account</t>
  </si>
  <si>
    <t>Attachmate</t>
  </si>
  <si>
    <t>Business Objects Open Licensing Program</t>
  </si>
  <si>
    <t>Business Objects</t>
  </si>
  <si>
    <t>CA Master License Program</t>
  </si>
  <si>
    <t>Ca</t>
  </si>
  <si>
    <t>MLP</t>
  </si>
  <si>
    <t>CA Open License Program</t>
  </si>
  <si>
    <t>Citrix Easy Licensing Program</t>
  </si>
  <si>
    <t>EASY</t>
  </si>
  <si>
    <t>Citrix Enterprise License Program</t>
  </si>
  <si>
    <t>Citrix Open Licensing Program</t>
  </si>
  <si>
    <t>Citrix Premium Licensing Program</t>
  </si>
  <si>
    <t>PLP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</si>
</sst>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* #,##0.00_-;\-&quot;$&quot;* #,##0.00_-;_-&quot;$&quot;* &quot;-&quot;??_-;_-@_-"/>
    <numFmt numFmtId="164" formatCode="&quot;$&quot;#,##0.00"/>
    <numFmt numFmtId="165" formatCode="d/mm/yyyy;@"/>
  </numFmts>
  <fonts count="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Nova"/>
      <family val="2"/>
    </font>
    <font>
      <b/>
      <sz val="10"/>
      <color theme="0"/>
      <name val="Arial Nova"/>
      <family val="2"/>
    </font>
    <font>
      <sz val="10"/>
      <color theme="0"/>
      <name val="Arial Nova"/>
      <family val="2"/>
    </font>
    <font>
      <sz val="10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0" fontId="4" fillId="0" borderId="0" xfId="2"/>
    <xf numFmtId="49" fontId="0" fillId="0" borderId="0" xfId="0" applyNumberFormat="1"/>
    <xf numFmtId="164" fontId="0" fillId="0" borderId="0" xfId="1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wrapText="1"/>
    </xf>
    <xf numFmtId="0" fontId="8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165" fontId="1" fillId="4" borderId="0" xfId="0" applyNumberFormat="1" applyFont="1" applyFill="1"/>
    <xf numFmtId="165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B20" totalsRowShown="0">
  <autoFilter ref="A1:B20"/>
  <tableColumns count="2">
    <tableColumn id="1" name="ContractTypeID"/>
    <tableColumn id="2" name="ContractTypeDefault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D1:E10" totalsRowShown="0">
  <autoFilter ref="D1:E10"/>
  <tableColumns count="2">
    <tableColumn id="1" name="ContractStatusID"/>
    <tableColumn id="2" name="Default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G1:J240" totalsRowShown="0">
  <autoFilter ref="G1:J240"/>
  <sortState ref="G2:J240">
    <sortCondition ref="H1:H240"/>
  </sortState>
  <tableColumns count="4">
    <tableColumn id="1" name="PurchaseProgramID"/>
    <tableColumn id="2" name="Name"/>
    <tableColumn id="3" name="PublisherName"/>
    <tableColumn id="4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B13" sqref="B13"/>
    </sheetView>
  </sheetViews>
  <sheetFormatPr defaultColWidth="8.85546875" defaultRowHeight="12.75"/>
  <cols>
    <col min="1" max="1" width="22.42578125" style="7" customWidth="1"/>
    <col min="2" max="4" width="23.7109375" style="7" customWidth="1"/>
    <col min="5" max="5" width="134.28515625" style="7" customWidth="1"/>
    <col min="6" max="16384" width="8.85546875" style="7"/>
  </cols>
  <sheetData>
    <row r="1" spans="1:5">
      <c r="A1" s="7" t="s">
        <v>63</v>
      </c>
    </row>
    <row r="3" spans="1:5" ht="38.25">
      <c r="A3" s="8" t="s">
        <v>64</v>
      </c>
      <c r="B3" s="8" t="s">
        <v>65</v>
      </c>
      <c r="C3" s="8" t="s">
        <v>66</v>
      </c>
      <c r="D3" s="9" t="s">
        <v>67</v>
      </c>
      <c r="E3" s="8" t="s">
        <v>1</v>
      </c>
    </row>
    <row r="4" spans="1:5">
      <c r="A4" s="18" t="s">
        <v>68</v>
      </c>
      <c r="B4" s="10" t="s">
        <v>2</v>
      </c>
      <c r="C4" s="11" t="s">
        <v>69</v>
      </c>
      <c r="D4" s="11" t="s">
        <v>70</v>
      </c>
      <c r="E4" s="12" t="s">
        <v>71</v>
      </c>
    </row>
    <row r="5" spans="1:5">
      <c r="A5" s="18"/>
      <c r="B5" s="10" t="s">
        <v>3</v>
      </c>
      <c r="C5" s="11" t="s">
        <v>69</v>
      </c>
      <c r="D5" s="11" t="s">
        <v>70</v>
      </c>
      <c r="E5" s="12"/>
    </row>
    <row r="6" spans="1:5">
      <c r="A6" s="18"/>
      <c r="B6" s="10" t="s">
        <v>4</v>
      </c>
      <c r="C6" s="11" t="s">
        <v>69</v>
      </c>
      <c r="D6" s="11" t="s">
        <v>70</v>
      </c>
      <c r="E6" s="12"/>
    </row>
    <row r="7" spans="1:5">
      <c r="A7" s="18"/>
      <c r="B7" s="10" t="s">
        <v>5</v>
      </c>
      <c r="C7" s="11" t="s">
        <v>69</v>
      </c>
      <c r="D7" s="11" t="s">
        <v>70</v>
      </c>
      <c r="E7" s="12"/>
    </row>
    <row r="8" spans="1:5">
      <c r="A8" s="18"/>
      <c r="B8" s="10" t="s">
        <v>6</v>
      </c>
      <c r="C8" s="11" t="s">
        <v>69</v>
      </c>
      <c r="D8" s="11" t="s">
        <v>70</v>
      </c>
      <c r="E8" s="12"/>
    </row>
    <row r="9" spans="1:5">
      <c r="A9" s="18"/>
      <c r="B9" s="10" t="s">
        <v>7</v>
      </c>
      <c r="C9" s="11" t="s">
        <v>69</v>
      </c>
      <c r="D9" s="11" t="s">
        <v>70</v>
      </c>
      <c r="E9" s="12"/>
    </row>
    <row r="10" spans="1:5">
      <c r="A10" s="18"/>
      <c r="B10" s="10" t="s">
        <v>8</v>
      </c>
      <c r="C10" s="11" t="s">
        <v>69</v>
      </c>
      <c r="D10" s="11" t="s">
        <v>70</v>
      </c>
      <c r="E10" s="12"/>
    </row>
    <row r="11" spans="1:5">
      <c r="A11" s="18"/>
      <c r="B11" s="10" t="s">
        <v>9</v>
      </c>
      <c r="C11" s="11" t="s">
        <v>69</v>
      </c>
      <c r="D11" s="11" t="s">
        <v>70</v>
      </c>
      <c r="E11" s="12"/>
    </row>
    <row r="12" spans="1:5">
      <c r="A12" s="18"/>
      <c r="B12" s="10" t="s">
        <v>10</v>
      </c>
      <c r="C12" s="11" t="s">
        <v>69</v>
      </c>
      <c r="D12" s="11" t="s">
        <v>70</v>
      </c>
      <c r="E12" s="12"/>
    </row>
    <row r="13" spans="1:5">
      <c r="A13" s="19" t="s">
        <v>72</v>
      </c>
      <c r="B13" s="13" t="s">
        <v>11</v>
      </c>
      <c r="C13" s="14" t="s">
        <v>69</v>
      </c>
      <c r="D13" s="14" t="s">
        <v>70</v>
      </c>
      <c r="E13" s="15"/>
    </row>
    <row r="14" spans="1:5">
      <c r="A14" s="19"/>
      <c r="B14" s="13" t="s">
        <v>12</v>
      </c>
      <c r="C14" s="14" t="s">
        <v>70</v>
      </c>
      <c r="D14" s="14" t="s">
        <v>70</v>
      </c>
      <c r="E14" s="15"/>
    </row>
    <row r="15" spans="1:5" ht="25.5">
      <c r="A15" s="19"/>
      <c r="B15" s="13" t="s">
        <v>13</v>
      </c>
      <c r="C15" s="14" t="s">
        <v>70</v>
      </c>
      <c r="D15" s="14" t="s">
        <v>70</v>
      </c>
      <c r="E15" s="15" t="s">
        <v>74</v>
      </c>
    </row>
    <row r="16" spans="1:5">
      <c r="A16" s="19"/>
      <c r="B16" s="13" t="s">
        <v>14</v>
      </c>
      <c r="C16" s="14" t="s">
        <v>73</v>
      </c>
      <c r="D16" s="14" t="s">
        <v>70</v>
      </c>
      <c r="E16" s="15" t="s">
        <v>75</v>
      </c>
    </row>
    <row r="17" spans="1:5">
      <c r="A17" s="19"/>
      <c r="B17" s="13" t="s">
        <v>15</v>
      </c>
      <c r="C17" s="14" t="s">
        <v>69</v>
      </c>
      <c r="D17" s="14" t="s">
        <v>70</v>
      </c>
      <c r="E17" s="15"/>
    </row>
    <row r="18" spans="1:5">
      <c r="A18" s="19"/>
      <c r="B18" s="13" t="s">
        <v>16</v>
      </c>
      <c r="C18" s="14" t="s">
        <v>73</v>
      </c>
      <c r="D18" s="14" t="s">
        <v>70</v>
      </c>
      <c r="E18" s="15" t="s">
        <v>82</v>
      </c>
    </row>
    <row r="19" spans="1:5">
      <c r="A19" s="19"/>
      <c r="B19" s="13" t="s">
        <v>17</v>
      </c>
      <c r="C19" s="14" t="s">
        <v>73</v>
      </c>
      <c r="D19" s="14" t="s">
        <v>70</v>
      </c>
      <c r="E19" s="15" t="s">
        <v>82</v>
      </c>
    </row>
    <row r="20" spans="1:5">
      <c r="A20" s="19"/>
      <c r="B20" s="13" t="s">
        <v>18</v>
      </c>
      <c r="C20" s="14" t="s">
        <v>69</v>
      </c>
      <c r="D20" s="14" t="s">
        <v>70</v>
      </c>
      <c r="E20" s="15" t="s">
        <v>82</v>
      </c>
    </row>
    <row r="21" spans="1:5">
      <c r="A21" s="19"/>
      <c r="B21" s="13" t="s">
        <v>19</v>
      </c>
      <c r="C21" s="14" t="s">
        <v>69</v>
      </c>
      <c r="D21" s="14" t="s">
        <v>70</v>
      </c>
      <c r="E21" s="15" t="s">
        <v>82</v>
      </c>
    </row>
    <row r="22" spans="1:5">
      <c r="A22" s="19"/>
      <c r="B22" s="13" t="s">
        <v>20</v>
      </c>
      <c r="C22" s="14" t="s">
        <v>73</v>
      </c>
      <c r="D22" s="14" t="s">
        <v>70</v>
      </c>
      <c r="E22" s="15" t="s">
        <v>75</v>
      </c>
    </row>
    <row r="23" spans="1:5">
      <c r="A23" s="19"/>
      <c r="B23" s="13" t="s">
        <v>21</v>
      </c>
      <c r="C23" s="14" t="s">
        <v>73</v>
      </c>
      <c r="D23" s="14" t="s">
        <v>70</v>
      </c>
      <c r="E23" s="15" t="s">
        <v>75</v>
      </c>
    </row>
    <row r="24" spans="1:5" ht="25.5">
      <c r="A24" s="19"/>
      <c r="B24" s="13" t="s">
        <v>22</v>
      </c>
      <c r="C24" s="14" t="s">
        <v>69</v>
      </c>
      <c r="D24" s="14" t="s">
        <v>70</v>
      </c>
      <c r="E24" s="15" t="s">
        <v>76</v>
      </c>
    </row>
    <row r="25" spans="1:5" ht="25.5">
      <c r="A25" s="19"/>
      <c r="B25" s="13" t="s">
        <v>23</v>
      </c>
      <c r="C25" s="14" t="s">
        <v>69</v>
      </c>
      <c r="D25" s="14" t="s">
        <v>70</v>
      </c>
      <c r="E25" s="15" t="s">
        <v>77</v>
      </c>
    </row>
    <row r="26" spans="1:5" ht="25.5">
      <c r="A26" s="19"/>
      <c r="B26" s="13" t="s">
        <v>0</v>
      </c>
      <c r="C26" s="14" t="s">
        <v>69</v>
      </c>
      <c r="D26" s="14" t="s">
        <v>70</v>
      </c>
      <c r="E26" s="15" t="s">
        <v>78</v>
      </c>
    </row>
    <row r="27" spans="1:5">
      <c r="A27" s="19"/>
      <c r="B27" s="13" t="s">
        <v>24</v>
      </c>
      <c r="C27" s="14" t="s">
        <v>73</v>
      </c>
      <c r="D27" s="14" t="s">
        <v>70</v>
      </c>
      <c r="E27" s="15" t="s">
        <v>79</v>
      </c>
    </row>
    <row r="28" spans="1:5">
      <c r="A28" s="19"/>
      <c r="B28" s="13" t="s">
        <v>1</v>
      </c>
      <c r="C28" s="14" t="s">
        <v>69</v>
      </c>
      <c r="D28" s="14" t="s">
        <v>70</v>
      </c>
      <c r="E28" s="15" t="s">
        <v>80</v>
      </c>
    </row>
    <row r="29" spans="1:5">
      <c r="A29" s="19"/>
      <c r="B29" s="13" t="s">
        <v>25</v>
      </c>
      <c r="C29" s="14" t="s">
        <v>69</v>
      </c>
      <c r="D29" s="14" t="s">
        <v>70</v>
      </c>
      <c r="E29" s="15" t="s">
        <v>81</v>
      </c>
    </row>
  </sheetData>
  <mergeCells count="2">
    <mergeCell ref="A4:A12"/>
    <mergeCell ref="A13:A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Views>
    <sheetView tabSelected="1" zoomScale="90" zoomScaleNormal="90" workbookViewId="0">
      <pane ySplit="1" topLeftCell="A2" activePane="bottomLeft" state="frozen"/>
      <selection activeCell="D1" sqref="D1"/>
      <selection pane="bottomLeft" activeCell="T1" sqref="T1"/>
    </sheetView>
  </sheetViews>
  <sheetFormatPr defaultRowHeight="15"/>
  <cols>
    <col min="1" max="1" width="37.5703125" bestFit="1" customWidth="1"/>
    <col min="2" max="2" width="14.85546875" bestFit="1" customWidth="1"/>
    <col min="3" max="3" width="24.28515625" bestFit="1" customWidth="1"/>
    <col min="4" max="4" width="22.42578125" bestFit="1" customWidth="1"/>
    <col min="5" max="5" width="21.28515625" bestFit="1" customWidth="1"/>
    <col min="6" max="6" width="19.7109375" bestFit="1" customWidth="1"/>
    <col min="7" max="7" width="20.7109375" bestFit="1" customWidth="1"/>
    <col min="8" max="8" width="24.5703125" bestFit="1" customWidth="1"/>
    <col min="9" max="9" width="23.28515625" bestFit="1" customWidth="1"/>
    <col min="10" max="10" width="19.28515625" bestFit="1" customWidth="1"/>
    <col min="11" max="11" width="75.140625" bestFit="1" customWidth="1"/>
    <col min="12" max="12" width="29.28515625" bestFit="1" customWidth="1"/>
    <col min="13" max="13" width="28.28515625" bestFit="1" customWidth="1"/>
    <col min="14" max="14" width="20.7109375" bestFit="1" customWidth="1"/>
    <col min="15" max="15" width="11.28515625" style="17" bestFit="1" customWidth="1"/>
    <col min="16" max="16" width="13.85546875" style="17" customWidth="1"/>
    <col min="17" max="17" width="13.28515625" style="17" bestFit="1" customWidth="1"/>
    <col min="18" max="18" width="14.42578125" style="17" bestFit="1" customWidth="1"/>
    <col min="19" max="19" width="18" customWidth="1"/>
    <col min="20" max="20" width="33.42578125" bestFit="1" customWidth="1"/>
    <col min="21" max="21" width="21.5703125" bestFit="1" customWidth="1"/>
    <col min="22" max="22" width="12.7109375" bestFit="1" customWidth="1"/>
    <col min="23" max="23" width="26.85546875" bestFit="1" customWidth="1"/>
    <col min="24" max="24" width="22.140625" bestFit="1" customWidth="1"/>
    <col min="25" max="25" width="12.28515625" bestFit="1" customWidth="1"/>
    <col min="26" max="26" width="16" bestFit="1" customWidth="1"/>
    <col min="30" max="30" width="8.85546875" customWidth="1"/>
  </cols>
  <sheetData>
    <row r="1" spans="1:26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2" t="s">
        <v>11</v>
      </c>
      <c r="K1" s="2" t="s">
        <v>12</v>
      </c>
      <c r="L1" s="3" t="s">
        <v>13</v>
      </c>
      <c r="M1" s="3" t="s">
        <v>14</v>
      </c>
      <c r="N1" s="2" t="s">
        <v>15</v>
      </c>
      <c r="O1" s="16" t="s">
        <v>16</v>
      </c>
      <c r="P1" s="16" t="s">
        <v>17</v>
      </c>
      <c r="Q1" s="16" t="s">
        <v>18</v>
      </c>
      <c r="R1" s="16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0</v>
      </c>
      <c r="X1" s="2" t="s">
        <v>24</v>
      </c>
      <c r="Y1" s="2" t="s">
        <v>1</v>
      </c>
      <c r="Z1" s="2" t="s">
        <v>25</v>
      </c>
    </row>
    <row r="2" spans="1:26">
      <c r="A2" t="s">
        <v>26</v>
      </c>
      <c r="C2" s="4"/>
      <c r="D2" s="4"/>
      <c r="J2" s="5"/>
      <c r="K2" t="s">
        <v>27</v>
      </c>
      <c r="L2" s="5">
        <v>2288499</v>
      </c>
      <c r="M2" t="s">
        <v>28</v>
      </c>
      <c r="O2" s="17">
        <v>44013</v>
      </c>
      <c r="P2" s="17">
        <v>44742</v>
      </c>
      <c r="Q2" s="17">
        <f t="shared" ref="Q2:Q15" si="0">P2-180</f>
        <v>44562</v>
      </c>
      <c r="R2" s="17">
        <f t="shared" ref="R2:R15" si="1">P2+1</f>
        <v>44743</v>
      </c>
      <c r="S2" t="s">
        <v>29</v>
      </c>
      <c r="T2" t="s">
        <v>30</v>
      </c>
      <c r="X2" t="b">
        <v>0</v>
      </c>
      <c r="Z2" s="6">
        <v>435224.74</v>
      </c>
    </row>
    <row r="3" spans="1:26">
      <c r="A3" t="s">
        <v>26</v>
      </c>
      <c r="J3" s="5"/>
      <c r="K3" t="s">
        <v>31</v>
      </c>
      <c r="L3" s="5">
        <v>4818115</v>
      </c>
      <c r="M3" t="s">
        <v>28</v>
      </c>
      <c r="O3" s="17">
        <v>44013</v>
      </c>
      <c r="P3" s="17">
        <v>44742</v>
      </c>
      <c r="Q3" s="17">
        <f t="shared" si="0"/>
        <v>44562</v>
      </c>
      <c r="R3" s="17">
        <f t="shared" si="1"/>
        <v>44743</v>
      </c>
      <c r="S3" t="s">
        <v>29</v>
      </c>
      <c r="T3" t="s">
        <v>30</v>
      </c>
      <c r="X3" t="b">
        <v>0</v>
      </c>
      <c r="Z3" s="6">
        <v>1691029.7</v>
      </c>
    </row>
    <row r="4" spans="1:26">
      <c r="A4" t="s">
        <v>26</v>
      </c>
      <c r="J4" s="5"/>
      <c r="K4" t="s">
        <v>32</v>
      </c>
      <c r="L4" s="5">
        <v>19268876</v>
      </c>
      <c r="M4" t="s">
        <v>28</v>
      </c>
      <c r="O4" s="17">
        <v>44070</v>
      </c>
      <c r="P4" s="17">
        <v>44799</v>
      </c>
      <c r="Q4" s="17">
        <f t="shared" si="0"/>
        <v>44619</v>
      </c>
      <c r="R4" s="17">
        <f t="shared" si="1"/>
        <v>44800</v>
      </c>
      <c r="S4" t="s">
        <v>29</v>
      </c>
      <c r="T4" t="s">
        <v>30</v>
      </c>
      <c r="X4" t="b">
        <v>0</v>
      </c>
      <c r="Z4" s="6">
        <v>33035.199999999997</v>
      </c>
    </row>
    <row r="5" spans="1:26">
      <c r="A5" t="s">
        <v>26</v>
      </c>
      <c r="J5" s="5"/>
      <c r="K5" t="s">
        <v>33</v>
      </c>
      <c r="L5" s="5">
        <v>5497111</v>
      </c>
      <c r="M5" t="s">
        <v>28</v>
      </c>
      <c r="O5" s="17">
        <v>44013</v>
      </c>
      <c r="P5" s="17">
        <v>44742</v>
      </c>
      <c r="Q5" s="17">
        <f t="shared" si="0"/>
        <v>44562</v>
      </c>
      <c r="R5" s="17">
        <f t="shared" si="1"/>
        <v>44743</v>
      </c>
      <c r="S5" t="s">
        <v>29</v>
      </c>
      <c r="T5" t="s">
        <v>30</v>
      </c>
      <c r="X5" t="b">
        <v>0</v>
      </c>
      <c r="Z5" s="6">
        <v>253213.08</v>
      </c>
    </row>
    <row r="6" spans="1:26">
      <c r="A6" t="s">
        <v>26</v>
      </c>
      <c r="J6" s="5"/>
      <c r="K6" t="s">
        <v>34</v>
      </c>
      <c r="L6" s="5">
        <v>4296783</v>
      </c>
      <c r="M6" t="s">
        <v>28</v>
      </c>
      <c r="O6" s="17">
        <v>44013</v>
      </c>
      <c r="P6" s="17">
        <v>44742</v>
      </c>
      <c r="Q6" s="17">
        <f t="shared" si="0"/>
        <v>44562</v>
      </c>
      <c r="R6" s="17">
        <f t="shared" si="1"/>
        <v>44743</v>
      </c>
      <c r="S6" t="s">
        <v>29</v>
      </c>
      <c r="T6" t="s">
        <v>30</v>
      </c>
      <c r="X6" t="b">
        <v>0</v>
      </c>
      <c r="Z6" s="6">
        <v>73118.64</v>
      </c>
    </row>
    <row r="7" spans="1:26">
      <c r="A7" t="s">
        <v>26</v>
      </c>
      <c r="J7" s="5"/>
      <c r="K7" t="s">
        <v>35</v>
      </c>
      <c r="L7" s="5" t="s">
        <v>36</v>
      </c>
      <c r="M7" t="s">
        <v>28</v>
      </c>
      <c r="O7" s="17">
        <v>44013</v>
      </c>
      <c r="P7" s="17">
        <v>44742</v>
      </c>
      <c r="Q7" s="17">
        <f t="shared" si="0"/>
        <v>44562</v>
      </c>
      <c r="R7" s="17">
        <f t="shared" si="1"/>
        <v>44743</v>
      </c>
      <c r="S7" t="s">
        <v>29</v>
      </c>
      <c r="T7" t="s">
        <v>86</v>
      </c>
      <c r="X7" t="b">
        <v>0</v>
      </c>
      <c r="Z7" s="6">
        <v>78591.539999999994</v>
      </c>
    </row>
    <row r="8" spans="1:26">
      <c r="A8" t="s">
        <v>26</v>
      </c>
      <c r="J8" s="5">
        <v>2288499</v>
      </c>
      <c r="K8" t="s">
        <v>37</v>
      </c>
      <c r="L8" s="5">
        <v>15470200</v>
      </c>
      <c r="M8" t="s">
        <v>38</v>
      </c>
      <c r="O8" s="17">
        <v>44013</v>
      </c>
      <c r="P8" s="17">
        <v>44742</v>
      </c>
      <c r="Q8" s="17">
        <f t="shared" si="0"/>
        <v>44562</v>
      </c>
      <c r="R8" s="17">
        <f t="shared" si="1"/>
        <v>44743</v>
      </c>
      <c r="S8" t="s">
        <v>29</v>
      </c>
      <c r="T8" t="s">
        <v>30</v>
      </c>
      <c r="X8" t="b">
        <v>0</v>
      </c>
    </row>
    <row r="9" spans="1:26">
      <c r="A9" t="s">
        <v>26</v>
      </c>
      <c r="J9" s="5">
        <v>2288499</v>
      </c>
      <c r="K9" t="s">
        <v>39</v>
      </c>
      <c r="L9" s="5" t="s">
        <v>40</v>
      </c>
      <c r="M9" t="s">
        <v>38</v>
      </c>
      <c r="O9" s="17">
        <v>44013</v>
      </c>
      <c r="P9" s="17">
        <v>44742</v>
      </c>
      <c r="Q9" s="17">
        <f t="shared" si="0"/>
        <v>44562</v>
      </c>
      <c r="R9" s="17">
        <f t="shared" si="1"/>
        <v>44743</v>
      </c>
      <c r="S9" t="s">
        <v>29</v>
      </c>
      <c r="T9" t="s">
        <v>30</v>
      </c>
      <c r="X9" t="b">
        <v>0</v>
      </c>
    </row>
    <row r="10" spans="1:26">
      <c r="A10" t="s">
        <v>26</v>
      </c>
      <c r="J10" s="5">
        <v>2288499</v>
      </c>
      <c r="K10" t="s">
        <v>41</v>
      </c>
      <c r="L10" s="5" t="s">
        <v>42</v>
      </c>
      <c r="M10" t="s">
        <v>38</v>
      </c>
      <c r="O10" s="17">
        <v>44013</v>
      </c>
      <c r="P10" s="17">
        <v>44742</v>
      </c>
      <c r="Q10" s="17">
        <f t="shared" si="0"/>
        <v>44562</v>
      </c>
      <c r="R10" s="17">
        <f t="shared" si="1"/>
        <v>44743</v>
      </c>
      <c r="S10" t="s">
        <v>29</v>
      </c>
      <c r="T10" t="s">
        <v>30</v>
      </c>
      <c r="X10" t="b">
        <v>0</v>
      </c>
    </row>
    <row r="11" spans="1:26">
      <c r="A11" t="s">
        <v>26</v>
      </c>
      <c r="J11" s="5">
        <v>2288499</v>
      </c>
      <c r="K11" t="s">
        <v>43</v>
      </c>
      <c r="L11" s="5">
        <v>14496004</v>
      </c>
      <c r="M11" t="s">
        <v>38</v>
      </c>
      <c r="O11" s="17">
        <v>44013</v>
      </c>
      <c r="P11" s="17">
        <v>44742</v>
      </c>
      <c r="Q11" s="17">
        <f t="shared" si="0"/>
        <v>44562</v>
      </c>
      <c r="R11" s="17">
        <f t="shared" si="1"/>
        <v>44743</v>
      </c>
      <c r="S11" t="s">
        <v>29</v>
      </c>
      <c r="T11" t="s">
        <v>30</v>
      </c>
      <c r="X11" t="b">
        <v>0</v>
      </c>
    </row>
    <row r="12" spans="1:26">
      <c r="A12" t="s">
        <v>26</v>
      </c>
      <c r="J12" s="5">
        <v>2288499</v>
      </c>
      <c r="K12" t="s">
        <v>44</v>
      </c>
      <c r="L12" s="5">
        <v>18064092</v>
      </c>
      <c r="M12" t="s">
        <v>38</v>
      </c>
      <c r="O12" s="17">
        <v>44013</v>
      </c>
      <c r="P12" s="17">
        <v>44742</v>
      </c>
      <c r="Q12" s="17">
        <f t="shared" si="0"/>
        <v>44562</v>
      </c>
      <c r="R12" s="17">
        <f t="shared" si="1"/>
        <v>44743</v>
      </c>
      <c r="S12" t="s">
        <v>29</v>
      </c>
      <c r="T12" t="s">
        <v>30</v>
      </c>
      <c r="X12" t="b">
        <v>0</v>
      </c>
    </row>
    <row r="13" spans="1:26">
      <c r="A13" t="s">
        <v>26</v>
      </c>
      <c r="J13" s="5">
        <v>2288499</v>
      </c>
      <c r="K13" t="s">
        <v>45</v>
      </c>
      <c r="L13" s="5">
        <v>18846129</v>
      </c>
      <c r="M13" t="s">
        <v>38</v>
      </c>
      <c r="O13" s="17">
        <v>44013</v>
      </c>
      <c r="P13" s="17">
        <v>44742</v>
      </c>
      <c r="Q13" s="17">
        <f t="shared" si="0"/>
        <v>44562</v>
      </c>
      <c r="R13" s="17">
        <f t="shared" si="1"/>
        <v>44743</v>
      </c>
      <c r="S13" t="s">
        <v>29</v>
      </c>
      <c r="T13" t="s">
        <v>30</v>
      </c>
      <c r="X13" t="b">
        <v>0</v>
      </c>
    </row>
    <row r="14" spans="1:26">
      <c r="A14" t="s">
        <v>26</v>
      </c>
      <c r="J14" s="5">
        <v>2288499</v>
      </c>
      <c r="K14" t="s">
        <v>46</v>
      </c>
      <c r="L14" s="5">
        <v>14495754</v>
      </c>
      <c r="M14" t="s">
        <v>38</v>
      </c>
      <c r="O14" s="17">
        <v>44013</v>
      </c>
      <c r="P14" s="17">
        <v>44742</v>
      </c>
      <c r="Q14" s="17">
        <f t="shared" si="0"/>
        <v>44562</v>
      </c>
      <c r="R14" s="17">
        <f t="shared" si="1"/>
        <v>44743</v>
      </c>
      <c r="S14" t="s">
        <v>29</v>
      </c>
      <c r="T14" t="s">
        <v>30</v>
      </c>
      <c r="X14" t="b">
        <v>0</v>
      </c>
    </row>
    <row r="15" spans="1:26">
      <c r="A15" t="s">
        <v>26</v>
      </c>
      <c r="J15" s="5">
        <v>4818115</v>
      </c>
      <c r="K15" t="s">
        <v>47</v>
      </c>
      <c r="L15" s="5" t="s">
        <v>48</v>
      </c>
      <c r="M15" t="s">
        <v>38</v>
      </c>
      <c r="O15" s="17">
        <v>44013</v>
      </c>
      <c r="P15" s="17">
        <v>44742</v>
      </c>
      <c r="Q15" s="17">
        <f t="shared" si="0"/>
        <v>44562</v>
      </c>
      <c r="R15" s="17">
        <f t="shared" si="1"/>
        <v>44743</v>
      </c>
      <c r="S15" t="s">
        <v>29</v>
      </c>
      <c r="T15" t="s">
        <v>30</v>
      </c>
      <c r="X15" t="b">
        <v>0</v>
      </c>
    </row>
    <row r="16" spans="1:26">
      <c r="A16" t="s">
        <v>26</v>
      </c>
      <c r="J16" s="5">
        <v>19268876</v>
      </c>
      <c r="K16" t="s">
        <v>49</v>
      </c>
      <c r="L16" s="5" t="s">
        <v>50</v>
      </c>
      <c r="M16" t="s">
        <v>38</v>
      </c>
      <c r="O16" s="17">
        <v>44070</v>
      </c>
      <c r="P16" s="17">
        <v>44799</v>
      </c>
      <c r="Q16" s="17">
        <f>P16-180</f>
        <v>44619</v>
      </c>
      <c r="R16" s="17">
        <f>P16+1</f>
        <v>44800</v>
      </c>
      <c r="S16" t="s">
        <v>29</v>
      </c>
      <c r="T16" t="s">
        <v>30</v>
      </c>
      <c r="X16" t="b">
        <v>0</v>
      </c>
    </row>
    <row r="17" spans="1:24">
      <c r="A17" t="s">
        <v>26</v>
      </c>
      <c r="J17" s="5">
        <v>19268876</v>
      </c>
      <c r="K17" t="s">
        <v>51</v>
      </c>
      <c r="L17" s="5" t="s">
        <v>52</v>
      </c>
      <c r="M17" t="s">
        <v>38</v>
      </c>
      <c r="O17" s="17">
        <v>44070</v>
      </c>
      <c r="P17" s="17">
        <v>44799</v>
      </c>
      <c r="Q17" s="17">
        <f>P17-180</f>
        <v>44619</v>
      </c>
      <c r="R17" s="17">
        <f>P17+1</f>
        <v>44800</v>
      </c>
      <c r="S17" t="s">
        <v>29</v>
      </c>
      <c r="T17" t="s">
        <v>30</v>
      </c>
      <c r="X17" t="b">
        <v>0</v>
      </c>
    </row>
    <row r="18" spans="1:24">
      <c r="A18" t="s">
        <v>26</v>
      </c>
      <c r="J18" s="5">
        <v>5497111</v>
      </c>
      <c r="K18" t="s">
        <v>53</v>
      </c>
      <c r="L18" s="5">
        <v>18557629</v>
      </c>
      <c r="M18" t="s">
        <v>38</v>
      </c>
      <c r="O18" s="17">
        <v>44013</v>
      </c>
      <c r="P18" s="17">
        <v>44742</v>
      </c>
      <c r="Q18" s="17">
        <f t="shared" ref="Q18:Q26" si="2">P18-180</f>
        <v>44562</v>
      </c>
      <c r="R18" s="17">
        <f t="shared" ref="R18:R26" si="3">P18+1</f>
        <v>44743</v>
      </c>
      <c r="S18" t="s">
        <v>29</v>
      </c>
      <c r="T18" t="s">
        <v>30</v>
      </c>
      <c r="X18" t="b">
        <v>0</v>
      </c>
    </row>
    <row r="19" spans="1:24">
      <c r="A19" t="s">
        <v>26</v>
      </c>
      <c r="J19" s="5">
        <v>4296783</v>
      </c>
      <c r="K19" t="s">
        <v>54</v>
      </c>
      <c r="L19" s="5">
        <v>17507206</v>
      </c>
      <c r="M19" t="s">
        <v>38</v>
      </c>
      <c r="O19" s="17">
        <v>44013</v>
      </c>
      <c r="P19" s="17">
        <v>44742</v>
      </c>
      <c r="Q19" s="17">
        <f t="shared" si="2"/>
        <v>44562</v>
      </c>
      <c r="R19" s="17">
        <f t="shared" si="3"/>
        <v>44743</v>
      </c>
      <c r="S19" t="s">
        <v>29</v>
      </c>
      <c r="T19" t="s">
        <v>30</v>
      </c>
      <c r="X19" t="b">
        <v>0</v>
      </c>
    </row>
    <row r="20" spans="1:24">
      <c r="A20" t="s">
        <v>26</v>
      </c>
      <c r="J20" s="5">
        <v>4296783</v>
      </c>
      <c r="K20" t="s">
        <v>55</v>
      </c>
      <c r="L20" s="5">
        <v>18555685</v>
      </c>
      <c r="M20" t="s">
        <v>38</v>
      </c>
      <c r="O20" s="17">
        <v>44013</v>
      </c>
      <c r="P20" s="17">
        <v>44742</v>
      </c>
      <c r="Q20" s="17">
        <f t="shared" si="2"/>
        <v>44562</v>
      </c>
      <c r="R20" s="17">
        <f t="shared" si="3"/>
        <v>44743</v>
      </c>
      <c r="S20" t="s">
        <v>29</v>
      </c>
      <c r="T20" t="s">
        <v>30</v>
      </c>
      <c r="X20" t="b">
        <v>0</v>
      </c>
    </row>
    <row r="21" spans="1:24">
      <c r="A21" t="s">
        <v>26</v>
      </c>
      <c r="J21" s="5" t="s">
        <v>36</v>
      </c>
      <c r="K21" t="s">
        <v>56</v>
      </c>
      <c r="L21" s="5">
        <v>17148339</v>
      </c>
      <c r="M21" t="s">
        <v>57</v>
      </c>
      <c r="O21" s="17">
        <v>44013</v>
      </c>
      <c r="P21" s="17">
        <v>44742</v>
      </c>
      <c r="Q21" s="17">
        <f t="shared" si="2"/>
        <v>44562</v>
      </c>
      <c r="R21" s="17">
        <f t="shared" si="3"/>
        <v>44743</v>
      </c>
      <c r="S21" t="s">
        <v>29</v>
      </c>
      <c r="T21" t="s">
        <v>86</v>
      </c>
      <c r="X21" t="b">
        <v>0</v>
      </c>
    </row>
    <row r="22" spans="1:24">
      <c r="A22" t="s">
        <v>26</v>
      </c>
      <c r="J22" s="5" t="s">
        <v>36</v>
      </c>
      <c r="K22" t="s">
        <v>58</v>
      </c>
      <c r="L22" s="5">
        <v>18241165</v>
      </c>
      <c r="M22" t="s">
        <v>57</v>
      </c>
      <c r="O22" s="17">
        <v>44013</v>
      </c>
      <c r="P22" s="17">
        <v>44742</v>
      </c>
      <c r="Q22" s="17">
        <f t="shared" si="2"/>
        <v>44562</v>
      </c>
      <c r="R22" s="17">
        <f t="shared" si="3"/>
        <v>44743</v>
      </c>
      <c r="S22" t="s">
        <v>29</v>
      </c>
      <c r="T22" t="s">
        <v>86</v>
      </c>
      <c r="X22" t="b">
        <v>0</v>
      </c>
    </row>
    <row r="23" spans="1:24">
      <c r="A23" t="s">
        <v>26</v>
      </c>
      <c r="J23" s="5" t="s">
        <v>36</v>
      </c>
      <c r="K23" t="s">
        <v>59</v>
      </c>
      <c r="L23" s="5">
        <v>17033282</v>
      </c>
      <c r="M23" t="s">
        <v>57</v>
      </c>
      <c r="O23" s="17">
        <v>44013</v>
      </c>
      <c r="P23" s="17">
        <v>44742</v>
      </c>
      <c r="Q23" s="17">
        <f t="shared" si="2"/>
        <v>44562</v>
      </c>
      <c r="R23" s="17">
        <f t="shared" si="3"/>
        <v>44743</v>
      </c>
      <c r="S23" t="s">
        <v>29</v>
      </c>
      <c r="T23" t="s">
        <v>86</v>
      </c>
      <c r="X23" t="b">
        <v>0</v>
      </c>
    </row>
    <row r="24" spans="1:24">
      <c r="A24" t="s">
        <v>26</v>
      </c>
      <c r="J24" s="5" t="s">
        <v>36</v>
      </c>
      <c r="K24" t="s">
        <v>60</v>
      </c>
      <c r="L24" s="5">
        <v>17056927</v>
      </c>
      <c r="M24" t="s">
        <v>57</v>
      </c>
      <c r="O24" s="17">
        <v>44013</v>
      </c>
      <c r="P24" s="17">
        <v>44742</v>
      </c>
      <c r="Q24" s="17">
        <f t="shared" si="2"/>
        <v>44562</v>
      </c>
      <c r="R24" s="17">
        <f t="shared" si="3"/>
        <v>44743</v>
      </c>
      <c r="S24" t="s">
        <v>29</v>
      </c>
      <c r="T24" t="s">
        <v>86</v>
      </c>
      <c r="X24" t="b">
        <v>0</v>
      </c>
    </row>
    <row r="25" spans="1:24">
      <c r="A25" t="s">
        <v>26</v>
      </c>
      <c r="J25" s="5" t="s">
        <v>36</v>
      </c>
      <c r="K25" t="s">
        <v>61</v>
      </c>
      <c r="L25" s="5">
        <v>17247467</v>
      </c>
      <c r="M25" t="s">
        <v>57</v>
      </c>
      <c r="O25" s="17">
        <v>44013</v>
      </c>
      <c r="P25" s="17">
        <v>44742</v>
      </c>
      <c r="Q25" s="17">
        <f t="shared" si="2"/>
        <v>44562</v>
      </c>
      <c r="R25" s="17">
        <f t="shared" si="3"/>
        <v>44743</v>
      </c>
      <c r="S25" t="s">
        <v>29</v>
      </c>
      <c r="T25" t="s">
        <v>86</v>
      </c>
      <c r="X25" t="b">
        <v>0</v>
      </c>
    </row>
    <row r="26" spans="1:24">
      <c r="A26" t="s">
        <v>26</v>
      </c>
      <c r="J26" s="5" t="s">
        <v>36</v>
      </c>
      <c r="K26" t="s">
        <v>62</v>
      </c>
      <c r="L26" s="5">
        <v>18170761</v>
      </c>
      <c r="M26" t="s">
        <v>57</v>
      </c>
      <c r="O26" s="17">
        <v>44013</v>
      </c>
      <c r="P26" s="17">
        <v>44742</v>
      </c>
      <c r="Q26" s="17">
        <f t="shared" si="2"/>
        <v>44562</v>
      </c>
      <c r="R26" s="17">
        <f t="shared" si="3"/>
        <v>44743</v>
      </c>
      <c r="S26" t="s">
        <v>29</v>
      </c>
      <c r="T26" t="s">
        <v>86</v>
      </c>
      <c r="X26" t="b">
        <v>0</v>
      </c>
    </row>
  </sheetData>
  <conditionalFormatting sqref="L1:L1048576">
    <cfRule type="duplicateValues" dxfId="0" priority="1"/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References!$B$2:$B$19</xm:f>
          </x14:formula1>
          <xm:sqref>T2:T26</xm:sqref>
        </x14:dataValidation>
        <x14:dataValidation type="list" allowBlank="1" showInputMessage="1" showErrorMessage="1">
          <x14:formula1>
            <xm:f>References!$E$2:$E$10</xm:f>
          </x14:formula1>
          <xm:sqref>S2:S26</xm:sqref>
        </x14:dataValidation>
        <x14:dataValidation type="list" allowBlank="1" showInputMessage="1" showErrorMessage="1">
          <x14:formula1>
            <xm:f>References!$H$2:$H$238</xm:f>
          </x14:formula1>
          <xm:sqref>M2:M26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"/>
  <sheetViews>
    <sheetView topLeftCell="A213" workbookViewId="0">
      <selection activeCell="H134" sqref="H134"/>
    </sheetView>
  </sheetViews>
  <sheetFormatPr defaultRowHeight="15"/>
  <cols>
    <col min="1" max="1" width="16.7109375" customWidth="1"/>
    <col min="2" max="2" width="41.85546875" bestFit="1" customWidth="1"/>
    <col min="4" max="4" width="20.42578125" customWidth="1"/>
    <col min="5" max="5" width="19.85546875" customWidth="1"/>
    <col min="7" max="7" width="20.42578125" customWidth="1"/>
    <col min="8" max="8" width="52.28515625" bestFit="1" customWidth="1"/>
    <col min="9" max="9" width="21.7109375" bestFit="1" customWidth="1"/>
    <col min="10" max="10" width="14.7109375" bestFit="1" customWidth="1"/>
  </cols>
  <sheetData>
    <row r="1" spans="1:10">
      <c r="A1" t="s">
        <v>21</v>
      </c>
      <c r="B1" t="s">
        <v>83</v>
      </c>
      <c r="D1" t="s">
        <v>20</v>
      </c>
      <c r="E1" t="s">
        <v>101</v>
      </c>
      <c r="G1" t="s">
        <v>109</v>
      </c>
      <c r="H1" t="s">
        <v>110</v>
      </c>
      <c r="I1" t="s">
        <v>111</v>
      </c>
      <c r="J1" t="s">
        <v>112</v>
      </c>
    </row>
    <row r="2" spans="1:10">
      <c r="A2">
        <v>1</v>
      </c>
      <c r="B2" t="s">
        <v>84</v>
      </c>
      <c r="D2">
        <v>1</v>
      </c>
      <c r="E2" t="s">
        <v>29</v>
      </c>
      <c r="G2">
        <v>143</v>
      </c>
      <c r="H2" t="s">
        <v>359</v>
      </c>
      <c r="I2" t="s">
        <v>360</v>
      </c>
      <c r="J2" t="s">
        <v>356</v>
      </c>
    </row>
    <row r="3" spans="1:10">
      <c r="A3">
        <v>2</v>
      </c>
      <c r="B3" t="s">
        <v>85</v>
      </c>
      <c r="D3">
        <v>2</v>
      </c>
      <c r="E3" t="s">
        <v>102</v>
      </c>
      <c r="G3">
        <v>97</v>
      </c>
      <c r="H3" t="s">
        <v>271</v>
      </c>
      <c r="I3" t="s">
        <v>125</v>
      </c>
      <c r="J3" t="s">
        <v>272</v>
      </c>
    </row>
    <row r="4" spans="1:10">
      <c r="A4">
        <v>3</v>
      </c>
      <c r="B4" t="s">
        <v>86</v>
      </c>
      <c r="D4">
        <v>3</v>
      </c>
      <c r="E4" t="s">
        <v>103</v>
      </c>
      <c r="G4">
        <v>7</v>
      </c>
      <c r="H4" t="s">
        <v>529</v>
      </c>
      <c r="I4" t="s">
        <v>245</v>
      </c>
      <c r="J4" t="s">
        <v>339</v>
      </c>
    </row>
    <row r="5" spans="1:10">
      <c r="A5">
        <v>4</v>
      </c>
      <c r="B5" t="s">
        <v>87</v>
      </c>
      <c r="D5">
        <v>4</v>
      </c>
      <c r="E5" t="s">
        <v>104</v>
      </c>
      <c r="G5">
        <v>83</v>
      </c>
      <c r="H5" t="s">
        <v>244</v>
      </c>
      <c r="I5" t="s">
        <v>245</v>
      </c>
      <c r="J5" t="s">
        <v>193</v>
      </c>
    </row>
    <row r="6" spans="1:10">
      <c r="A6">
        <v>5</v>
      </c>
      <c r="B6" t="s">
        <v>88</v>
      </c>
      <c r="D6">
        <v>5</v>
      </c>
      <c r="E6" t="s">
        <v>105</v>
      </c>
      <c r="G6">
        <v>4</v>
      </c>
      <c r="H6" t="s">
        <v>526</v>
      </c>
      <c r="I6" t="s">
        <v>146</v>
      </c>
      <c r="J6" t="s">
        <v>440</v>
      </c>
    </row>
    <row r="7" spans="1:10">
      <c r="A7">
        <v>6</v>
      </c>
      <c r="B7" t="s">
        <v>89</v>
      </c>
      <c r="D7">
        <v>6</v>
      </c>
      <c r="E7" t="s">
        <v>106</v>
      </c>
      <c r="G7">
        <v>79</v>
      </c>
      <c r="H7" t="s">
        <v>236</v>
      </c>
      <c r="I7" t="s">
        <v>182</v>
      </c>
      <c r="J7" t="s">
        <v>237</v>
      </c>
    </row>
    <row r="8" spans="1:10">
      <c r="A8">
        <v>7</v>
      </c>
      <c r="B8" t="s">
        <v>90</v>
      </c>
      <c r="D8">
        <v>7</v>
      </c>
      <c r="E8" t="s">
        <v>107</v>
      </c>
      <c r="G8">
        <v>141</v>
      </c>
      <c r="H8" t="s">
        <v>357</v>
      </c>
      <c r="I8" t="s">
        <v>182</v>
      </c>
      <c r="J8" t="s">
        <v>167</v>
      </c>
    </row>
    <row r="9" spans="1:10">
      <c r="A9">
        <v>8</v>
      </c>
      <c r="B9" t="s">
        <v>91</v>
      </c>
      <c r="D9">
        <v>1001</v>
      </c>
      <c r="E9" t="s">
        <v>108</v>
      </c>
      <c r="G9">
        <v>35</v>
      </c>
      <c r="H9" t="s">
        <v>158</v>
      </c>
      <c r="I9" t="s">
        <v>146</v>
      </c>
      <c r="J9" t="s">
        <v>159</v>
      </c>
    </row>
    <row r="10" spans="1:10">
      <c r="A10">
        <v>9</v>
      </c>
      <c r="B10" t="s">
        <v>92</v>
      </c>
      <c r="G10">
        <v>6</v>
      </c>
      <c r="H10" t="s">
        <v>528</v>
      </c>
      <c r="I10" t="s">
        <v>146</v>
      </c>
      <c r="J10" t="s">
        <v>493</v>
      </c>
    </row>
    <row r="11" spans="1:10">
      <c r="A11">
        <v>10</v>
      </c>
      <c r="B11" t="s">
        <v>93</v>
      </c>
      <c r="G11">
        <v>5</v>
      </c>
      <c r="H11" t="s">
        <v>527</v>
      </c>
      <c r="I11" t="s">
        <v>146</v>
      </c>
      <c r="J11" t="s">
        <v>412</v>
      </c>
    </row>
    <row r="12" spans="1:10">
      <c r="A12">
        <v>11</v>
      </c>
      <c r="B12" t="s">
        <v>94</v>
      </c>
      <c r="G12">
        <v>145</v>
      </c>
      <c r="H12" t="s">
        <v>363</v>
      </c>
      <c r="I12" t="s">
        <v>327</v>
      </c>
      <c r="J12" t="s">
        <v>356</v>
      </c>
    </row>
    <row r="13" spans="1:10">
      <c r="A13">
        <v>12</v>
      </c>
      <c r="B13" t="s">
        <v>95</v>
      </c>
      <c r="G13">
        <v>146</v>
      </c>
      <c r="H13" t="s">
        <v>364</v>
      </c>
      <c r="I13" t="s">
        <v>365</v>
      </c>
      <c r="J13" t="s">
        <v>356</v>
      </c>
    </row>
    <row r="14" spans="1:10">
      <c r="A14">
        <v>13</v>
      </c>
      <c r="B14" t="s">
        <v>96</v>
      </c>
      <c r="G14">
        <v>8</v>
      </c>
      <c r="H14" t="s">
        <v>530</v>
      </c>
      <c r="I14" t="s">
        <v>531</v>
      </c>
      <c r="J14" t="s">
        <v>285</v>
      </c>
    </row>
    <row r="15" spans="1:10">
      <c r="A15">
        <v>14</v>
      </c>
      <c r="B15" t="s">
        <v>97</v>
      </c>
      <c r="G15">
        <v>85</v>
      </c>
      <c r="H15" t="s">
        <v>247</v>
      </c>
      <c r="I15" t="s">
        <v>188</v>
      </c>
      <c r="J15" t="s">
        <v>248</v>
      </c>
    </row>
    <row r="16" spans="1:10">
      <c r="A16">
        <v>15</v>
      </c>
      <c r="B16" t="s">
        <v>98</v>
      </c>
      <c r="G16">
        <v>132</v>
      </c>
      <c r="H16" t="s">
        <v>338</v>
      </c>
      <c r="I16" t="s">
        <v>188</v>
      </c>
      <c r="J16" t="s">
        <v>339</v>
      </c>
    </row>
    <row r="17" spans="1:10">
      <c r="A17">
        <v>16</v>
      </c>
      <c r="B17" t="s">
        <v>99</v>
      </c>
      <c r="G17">
        <v>170</v>
      </c>
      <c r="H17" t="s">
        <v>404</v>
      </c>
      <c r="I17" t="s">
        <v>188</v>
      </c>
      <c r="J17" t="s">
        <v>405</v>
      </c>
    </row>
    <row r="18" spans="1:10">
      <c r="A18">
        <v>17</v>
      </c>
      <c r="B18" t="s">
        <v>100</v>
      </c>
      <c r="G18">
        <v>147</v>
      </c>
      <c r="H18" t="s">
        <v>366</v>
      </c>
      <c r="I18" t="s">
        <v>188</v>
      </c>
      <c r="J18" t="s">
        <v>356</v>
      </c>
    </row>
    <row r="19" spans="1:10">
      <c r="G19">
        <v>148</v>
      </c>
      <c r="H19" t="s">
        <v>367</v>
      </c>
      <c r="I19" t="s">
        <v>368</v>
      </c>
      <c r="J19" t="s">
        <v>356</v>
      </c>
    </row>
    <row r="20" spans="1:10">
      <c r="G20">
        <v>149</v>
      </c>
      <c r="H20" t="s">
        <v>369</v>
      </c>
      <c r="I20" t="s">
        <v>370</v>
      </c>
      <c r="J20" t="s">
        <v>356</v>
      </c>
    </row>
    <row r="21" spans="1:10">
      <c r="G21">
        <v>228</v>
      </c>
      <c r="H21" t="s">
        <v>490</v>
      </c>
      <c r="I21" t="s">
        <v>491</v>
      </c>
      <c r="J21" t="s">
        <v>356</v>
      </c>
    </row>
    <row r="22" spans="1:10">
      <c r="G22">
        <v>9</v>
      </c>
      <c r="H22" t="s">
        <v>532</v>
      </c>
      <c r="I22" t="s">
        <v>533</v>
      </c>
      <c r="J22" t="s">
        <v>137</v>
      </c>
    </row>
    <row r="23" spans="1:10">
      <c r="G23">
        <v>10</v>
      </c>
      <c r="H23" t="s">
        <v>534</v>
      </c>
      <c r="I23" t="s">
        <v>535</v>
      </c>
      <c r="J23" t="s">
        <v>536</v>
      </c>
    </row>
    <row r="24" spans="1:10">
      <c r="G24">
        <v>11</v>
      </c>
      <c r="H24" t="s">
        <v>537</v>
      </c>
      <c r="I24" t="s">
        <v>535</v>
      </c>
      <c r="J24" t="s">
        <v>137</v>
      </c>
    </row>
    <row r="25" spans="1:10">
      <c r="G25">
        <v>229</v>
      </c>
      <c r="H25" t="s">
        <v>492</v>
      </c>
      <c r="I25" t="s">
        <v>491</v>
      </c>
      <c r="J25" t="s">
        <v>493</v>
      </c>
    </row>
    <row r="26" spans="1:10">
      <c r="G26">
        <v>137</v>
      </c>
      <c r="H26" t="s">
        <v>348</v>
      </c>
      <c r="I26" t="s">
        <v>318</v>
      </c>
      <c r="J26" t="s">
        <v>349</v>
      </c>
    </row>
    <row r="27" spans="1:10">
      <c r="G27">
        <v>175</v>
      </c>
      <c r="H27" t="s">
        <v>413</v>
      </c>
      <c r="I27" t="s">
        <v>320</v>
      </c>
      <c r="J27" t="s">
        <v>339</v>
      </c>
    </row>
    <row r="28" spans="1:10">
      <c r="G28">
        <v>122</v>
      </c>
      <c r="H28" t="s">
        <v>319</v>
      </c>
      <c r="I28" t="s">
        <v>320</v>
      </c>
      <c r="J28" t="s">
        <v>167</v>
      </c>
    </row>
    <row r="29" spans="1:10">
      <c r="G29">
        <v>138</v>
      </c>
      <c r="H29" t="s">
        <v>350</v>
      </c>
      <c r="I29" t="s">
        <v>320</v>
      </c>
      <c r="J29" t="s">
        <v>351</v>
      </c>
    </row>
    <row r="30" spans="1:10">
      <c r="G30">
        <v>174</v>
      </c>
      <c r="H30" t="s">
        <v>411</v>
      </c>
      <c r="I30" t="s">
        <v>320</v>
      </c>
      <c r="J30" t="s">
        <v>412</v>
      </c>
    </row>
    <row r="31" spans="1:10">
      <c r="G31">
        <v>150</v>
      </c>
      <c r="H31" t="s">
        <v>371</v>
      </c>
      <c r="I31" t="s">
        <v>320</v>
      </c>
      <c r="J31" t="s">
        <v>356</v>
      </c>
    </row>
    <row r="32" spans="1:10">
      <c r="G32">
        <v>12</v>
      </c>
      <c r="H32" t="s">
        <v>538</v>
      </c>
      <c r="I32" t="s">
        <v>178</v>
      </c>
      <c r="J32" t="s">
        <v>539</v>
      </c>
    </row>
    <row r="33" spans="7:10">
      <c r="G33">
        <v>114</v>
      </c>
      <c r="H33" t="s">
        <v>303</v>
      </c>
      <c r="I33" t="s">
        <v>178</v>
      </c>
      <c r="J33" t="s">
        <v>304</v>
      </c>
    </row>
    <row r="34" spans="7:10">
      <c r="G34">
        <v>13</v>
      </c>
      <c r="H34" t="s">
        <v>540</v>
      </c>
      <c r="I34" t="s">
        <v>178</v>
      </c>
      <c r="J34" t="s">
        <v>254</v>
      </c>
    </row>
    <row r="35" spans="7:10">
      <c r="G35">
        <v>14</v>
      </c>
      <c r="H35" t="s">
        <v>541</v>
      </c>
      <c r="I35" t="s">
        <v>178</v>
      </c>
      <c r="J35" t="s">
        <v>137</v>
      </c>
    </row>
    <row r="36" spans="7:10">
      <c r="G36">
        <v>15</v>
      </c>
      <c r="H36" t="s">
        <v>542</v>
      </c>
      <c r="I36" t="s">
        <v>178</v>
      </c>
      <c r="J36" t="s">
        <v>543</v>
      </c>
    </row>
    <row r="37" spans="7:10">
      <c r="G37">
        <v>133</v>
      </c>
      <c r="H37" t="s">
        <v>340</v>
      </c>
      <c r="I37" t="s">
        <v>178</v>
      </c>
      <c r="J37" t="s">
        <v>341</v>
      </c>
    </row>
    <row r="38" spans="7:10">
      <c r="G38">
        <v>176</v>
      </c>
      <c r="H38" t="s">
        <v>414</v>
      </c>
      <c r="I38" t="s">
        <v>178</v>
      </c>
      <c r="J38" t="s">
        <v>415</v>
      </c>
    </row>
    <row r="39" spans="7:10">
      <c r="G39">
        <v>151</v>
      </c>
      <c r="H39" t="s">
        <v>372</v>
      </c>
      <c r="I39" t="s">
        <v>178</v>
      </c>
      <c r="J39" t="s">
        <v>356</v>
      </c>
    </row>
    <row r="40" spans="7:10">
      <c r="G40">
        <v>71</v>
      </c>
      <c r="H40" t="s">
        <v>221</v>
      </c>
      <c r="I40" t="s">
        <v>175</v>
      </c>
      <c r="J40" t="s">
        <v>222</v>
      </c>
    </row>
    <row r="41" spans="7:10">
      <c r="G41">
        <v>230</v>
      </c>
      <c r="H41" t="s">
        <v>494</v>
      </c>
      <c r="I41" t="s">
        <v>495</v>
      </c>
      <c r="J41" t="s">
        <v>126</v>
      </c>
    </row>
    <row r="42" spans="7:10">
      <c r="G42">
        <v>182</v>
      </c>
      <c r="H42" t="s">
        <v>426</v>
      </c>
      <c r="I42" t="s">
        <v>374</v>
      </c>
      <c r="J42" t="s">
        <v>427</v>
      </c>
    </row>
    <row r="43" spans="7:10">
      <c r="G43">
        <v>183</v>
      </c>
      <c r="H43" t="s">
        <v>428</v>
      </c>
      <c r="I43" t="s">
        <v>374</v>
      </c>
      <c r="J43" t="s">
        <v>429</v>
      </c>
    </row>
    <row r="44" spans="7:10">
      <c r="G44">
        <v>181</v>
      </c>
      <c r="H44" t="s">
        <v>424</v>
      </c>
      <c r="I44" t="s">
        <v>374</v>
      </c>
      <c r="J44" t="s">
        <v>425</v>
      </c>
    </row>
    <row r="45" spans="7:10">
      <c r="G45">
        <v>152</v>
      </c>
      <c r="H45" t="s">
        <v>373</v>
      </c>
      <c r="I45" t="s">
        <v>374</v>
      </c>
      <c r="J45" t="s">
        <v>356</v>
      </c>
    </row>
    <row r="46" spans="7:10">
      <c r="G46">
        <v>239</v>
      </c>
      <c r="H46" t="s">
        <v>509</v>
      </c>
      <c r="I46" t="s">
        <v>510</v>
      </c>
      <c r="J46" t="s">
        <v>356</v>
      </c>
    </row>
    <row r="47" spans="7:10">
      <c r="G47">
        <v>16</v>
      </c>
      <c r="H47" t="s">
        <v>113</v>
      </c>
      <c r="I47" t="s">
        <v>114</v>
      </c>
      <c r="J47" t="s">
        <v>115</v>
      </c>
    </row>
    <row r="48" spans="7:10">
      <c r="G48">
        <v>88</v>
      </c>
      <c r="H48" t="s">
        <v>253</v>
      </c>
      <c r="I48" t="s">
        <v>114</v>
      </c>
      <c r="J48" t="s">
        <v>254</v>
      </c>
    </row>
    <row r="49" spans="7:10">
      <c r="G49">
        <v>177</v>
      </c>
      <c r="H49" t="s">
        <v>416</v>
      </c>
      <c r="I49" t="s">
        <v>114</v>
      </c>
      <c r="J49" t="s">
        <v>417</v>
      </c>
    </row>
    <row r="50" spans="7:10">
      <c r="G50">
        <v>17</v>
      </c>
      <c r="H50" t="s">
        <v>116</v>
      </c>
      <c r="I50" t="s">
        <v>114</v>
      </c>
      <c r="J50" t="s">
        <v>117</v>
      </c>
    </row>
    <row r="51" spans="7:10">
      <c r="G51">
        <v>153</v>
      </c>
      <c r="H51" t="s">
        <v>375</v>
      </c>
      <c r="I51" t="s">
        <v>114</v>
      </c>
      <c r="J51" t="s">
        <v>356</v>
      </c>
    </row>
    <row r="52" spans="7:10">
      <c r="G52">
        <v>89</v>
      </c>
      <c r="H52" t="s">
        <v>255</v>
      </c>
      <c r="I52" t="s">
        <v>114</v>
      </c>
      <c r="J52" t="s">
        <v>256</v>
      </c>
    </row>
    <row r="53" spans="7:10">
      <c r="G53">
        <v>136</v>
      </c>
      <c r="H53" t="s">
        <v>346</v>
      </c>
      <c r="I53" t="s">
        <v>214</v>
      </c>
      <c r="J53" t="s">
        <v>347</v>
      </c>
    </row>
    <row r="54" spans="7:10">
      <c r="G54">
        <v>106</v>
      </c>
      <c r="H54" t="s">
        <v>287</v>
      </c>
      <c r="I54" t="s">
        <v>152</v>
      </c>
      <c r="J54" t="s">
        <v>288</v>
      </c>
    </row>
    <row r="55" spans="7:10">
      <c r="G55">
        <v>74</v>
      </c>
      <c r="H55" t="s">
        <v>227</v>
      </c>
      <c r="I55" t="s">
        <v>161</v>
      </c>
      <c r="J55" t="s">
        <v>228</v>
      </c>
    </row>
    <row r="56" spans="7:10">
      <c r="G56">
        <v>179</v>
      </c>
      <c r="H56" t="s">
        <v>421</v>
      </c>
      <c r="I56" t="s">
        <v>419</v>
      </c>
      <c r="J56" t="s">
        <v>422</v>
      </c>
    </row>
    <row r="57" spans="7:10">
      <c r="G57">
        <v>178</v>
      </c>
      <c r="H57" t="s">
        <v>418</v>
      </c>
      <c r="I57" t="s">
        <v>419</v>
      </c>
      <c r="J57" t="s">
        <v>420</v>
      </c>
    </row>
    <row r="58" spans="7:10">
      <c r="G58">
        <v>154</v>
      </c>
      <c r="H58" t="s">
        <v>376</v>
      </c>
      <c r="I58" t="s">
        <v>377</v>
      </c>
      <c r="J58" t="s">
        <v>356</v>
      </c>
    </row>
    <row r="59" spans="7:10">
      <c r="G59">
        <v>222</v>
      </c>
      <c r="H59" t="s">
        <v>477</v>
      </c>
      <c r="I59" t="s">
        <v>478</v>
      </c>
      <c r="J59" t="s">
        <v>356</v>
      </c>
    </row>
    <row r="60" spans="7:10">
      <c r="G60">
        <v>73</v>
      </c>
      <c r="H60" t="s">
        <v>225</v>
      </c>
      <c r="I60" t="s">
        <v>182</v>
      </c>
      <c r="J60" t="s">
        <v>226</v>
      </c>
    </row>
    <row r="61" spans="7:10">
      <c r="G61">
        <v>47</v>
      </c>
      <c r="H61" t="s">
        <v>187</v>
      </c>
      <c r="I61" t="s">
        <v>188</v>
      </c>
      <c r="J61" t="s">
        <v>189</v>
      </c>
    </row>
    <row r="62" spans="7:10">
      <c r="G62">
        <v>119</v>
      </c>
      <c r="H62" t="s">
        <v>313</v>
      </c>
      <c r="I62" t="s">
        <v>314</v>
      </c>
      <c r="J62" t="s">
        <v>167</v>
      </c>
    </row>
    <row r="63" spans="7:10">
      <c r="G63">
        <v>155</v>
      </c>
      <c r="H63" t="s">
        <v>378</v>
      </c>
      <c r="I63" t="s">
        <v>314</v>
      </c>
      <c r="J63" t="s">
        <v>356</v>
      </c>
    </row>
    <row r="64" spans="7:10">
      <c r="G64">
        <v>120</v>
      </c>
      <c r="H64" t="s">
        <v>315</v>
      </c>
      <c r="I64" t="s">
        <v>314</v>
      </c>
      <c r="J64" t="s">
        <v>316</v>
      </c>
    </row>
    <row r="65" spans="7:10">
      <c r="G65">
        <v>95</v>
      </c>
      <c r="H65" t="s">
        <v>267</v>
      </c>
      <c r="I65" t="s">
        <v>161</v>
      </c>
      <c r="J65" t="s">
        <v>268</v>
      </c>
    </row>
    <row r="66" spans="7:10">
      <c r="G66">
        <v>93</v>
      </c>
      <c r="H66" t="s">
        <v>263</v>
      </c>
      <c r="I66" t="s">
        <v>161</v>
      </c>
      <c r="J66" t="s">
        <v>264</v>
      </c>
    </row>
    <row r="67" spans="7:10">
      <c r="G67">
        <v>90</v>
      </c>
      <c r="H67" t="s">
        <v>257</v>
      </c>
      <c r="I67" t="s">
        <v>161</v>
      </c>
      <c r="J67" t="s">
        <v>258</v>
      </c>
    </row>
    <row r="68" spans="7:10">
      <c r="G68">
        <v>86</v>
      </c>
      <c r="H68" t="s">
        <v>249</v>
      </c>
      <c r="I68" t="s">
        <v>188</v>
      </c>
      <c r="J68" t="s">
        <v>250</v>
      </c>
    </row>
    <row r="69" spans="7:10">
      <c r="G69">
        <v>109</v>
      </c>
      <c r="H69" t="s">
        <v>293</v>
      </c>
      <c r="I69" t="s">
        <v>161</v>
      </c>
      <c r="J69" t="s">
        <v>294</v>
      </c>
    </row>
    <row r="70" spans="7:10">
      <c r="G70">
        <v>43</v>
      </c>
      <c r="H70" t="s">
        <v>177</v>
      </c>
      <c r="I70" t="s">
        <v>178</v>
      </c>
      <c r="J70" t="s">
        <v>167</v>
      </c>
    </row>
    <row r="71" spans="7:10">
      <c r="G71">
        <v>70</v>
      </c>
      <c r="H71" t="s">
        <v>219</v>
      </c>
      <c r="I71" t="s">
        <v>175</v>
      </c>
      <c r="J71" t="s">
        <v>220</v>
      </c>
    </row>
    <row r="72" spans="7:10">
      <c r="G72">
        <v>113</v>
      </c>
      <c r="H72" t="s">
        <v>301</v>
      </c>
      <c r="I72" t="s">
        <v>132</v>
      </c>
      <c r="J72" t="s">
        <v>302</v>
      </c>
    </row>
    <row r="73" spans="7:10">
      <c r="G73">
        <v>65</v>
      </c>
      <c r="H73" t="s">
        <v>211</v>
      </c>
      <c r="I73" t="s">
        <v>161</v>
      </c>
      <c r="J73" t="s">
        <v>212</v>
      </c>
    </row>
    <row r="74" spans="7:10">
      <c r="G74">
        <v>84</v>
      </c>
      <c r="H74" t="s">
        <v>246</v>
      </c>
      <c r="I74" t="s">
        <v>182</v>
      </c>
      <c r="J74" t="s">
        <v>159</v>
      </c>
    </row>
    <row r="75" spans="7:10">
      <c r="G75">
        <v>75</v>
      </c>
      <c r="H75" t="s">
        <v>229</v>
      </c>
      <c r="I75" t="s">
        <v>182</v>
      </c>
      <c r="J75" t="s">
        <v>230</v>
      </c>
    </row>
    <row r="76" spans="7:10">
      <c r="G76">
        <v>78</v>
      </c>
      <c r="H76" t="s">
        <v>235</v>
      </c>
      <c r="I76" t="s">
        <v>132</v>
      </c>
      <c r="J76" t="s">
        <v>200</v>
      </c>
    </row>
    <row r="77" spans="7:10">
      <c r="G77">
        <v>44</v>
      </c>
      <c r="H77" t="s">
        <v>179</v>
      </c>
      <c r="I77" t="s">
        <v>178</v>
      </c>
      <c r="J77" t="s">
        <v>180</v>
      </c>
    </row>
    <row r="78" spans="7:10">
      <c r="G78">
        <v>53</v>
      </c>
      <c r="H78" t="s">
        <v>198</v>
      </c>
      <c r="I78" t="s">
        <v>199</v>
      </c>
      <c r="J78" t="s">
        <v>200</v>
      </c>
    </row>
    <row r="79" spans="7:10">
      <c r="G79">
        <v>87</v>
      </c>
      <c r="H79" t="s">
        <v>251</v>
      </c>
      <c r="I79" t="s">
        <v>178</v>
      </c>
      <c r="J79" t="s">
        <v>252</v>
      </c>
    </row>
    <row r="80" spans="7:10">
      <c r="G80">
        <v>223</v>
      </c>
      <c r="H80" t="s">
        <v>479</v>
      </c>
      <c r="I80" t="s">
        <v>480</v>
      </c>
      <c r="J80" t="s">
        <v>481</v>
      </c>
    </row>
    <row r="81" spans="7:10">
      <c r="G81">
        <v>156</v>
      </c>
      <c r="H81" t="s">
        <v>379</v>
      </c>
      <c r="I81" t="s">
        <v>380</v>
      </c>
      <c r="J81" t="s">
        <v>356</v>
      </c>
    </row>
    <row r="82" spans="7:10">
      <c r="G82">
        <v>240</v>
      </c>
      <c r="H82" t="s">
        <v>511</v>
      </c>
      <c r="I82" t="s">
        <v>512</v>
      </c>
      <c r="J82" t="s">
        <v>270</v>
      </c>
    </row>
    <row r="83" spans="7:10">
      <c r="G83">
        <v>157</v>
      </c>
      <c r="H83" t="s">
        <v>381</v>
      </c>
      <c r="I83" t="s">
        <v>382</v>
      </c>
      <c r="J83" t="s">
        <v>356</v>
      </c>
    </row>
    <row r="84" spans="7:10">
      <c r="G84">
        <v>38</v>
      </c>
      <c r="H84" t="s">
        <v>166</v>
      </c>
      <c r="I84" t="s">
        <v>164</v>
      </c>
      <c r="J84" t="s">
        <v>167</v>
      </c>
    </row>
    <row r="85" spans="7:10">
      <c r="G85">
        <v>39</v>
      </c>
      <c r="H85" t="s">
        <v>168</v>
      </c>
      <c r="I85" t="s">
        <v>164</v>
      </c>
      <c r="J85" t="s">
        <v>169</v>
      </c>
    </row>
    <row r="86" spans="7:10">
      <c r="G86">
        <v>18</v>
      </c>
      <c r="H86" t="s">
        <v>118</v>
      </c>
      <c r="I86" t="s">
        <v>119</v>
      </c>
      <c r="J86" t="s">
        <v>120</v>
      </c>
    </row>
    <row r="87" spans="7:10">
      <c r="G87">
        <v>37</v>
      </c>
      <c r="H87" t="s">
        <v>163</v>
      </c>
      <c r="I87" t="s">
        <v>164</v>
      </c>
      <c r="J87" t="s">
        <v>165</v>
      </c>
    </row>
    <row r="88" spans="7:10">
      <c r="G88">
        <v>54</v>
      </c>
      <c r="H88" t="s">
        <v>201</v>
      </c>
      <c r="I88" t="s">
        <v>164</v>
      </c>
      <c r="J88" t="s">
        <v>202</v>
      </c>
    </row>
    <row r="89" spans="7:10">
      <c r="G89">
        <v>115</v>
      </c>
      <c r="H89" t="s">
        <v>305</v>
      </c>
      <c r="I89" t="s">
        <v>164</v>
      </c>
      <c r="J89" t="s">
        <v>306</v>
      </c>
    </row>
    <row r="90" spans="7:10">
      <c r="G90">
        <v>51</v>
      </c>
      <c r="H90" t="s">
        <v>194</v>
      </c>
      <c r="I90" t="s">
        <v>185</v>
      </c>
      <c r="J90" t="s">
        <v>195</v>
      </c>
    </row>
    <row r="91" spans="7:10">
      <c r="G91">
        <v>158</v>
      </c>
      <c r="H91" t="s">
        <v>383</v>
      </c>
      <c r="I91" t="s">
        <v>384</v>
      </c>
      <c r="J91" t="s">
        <v>356</v>
      </c>
    </row>
    <row r="92" spans="7:10">
      <c r="G92">
        <v>184</v>
      </c>
      <c r="H92" t="s">
        <v>430</v>
      </c>
      <c r="I92" t="s">
        <v>384</v>
      </c>
      <c r="J92" t="s">
        <v>298</v>
      </c>
    </row>
    <row r="93" spans="7:10">
      <c r="G93">
        <v>91</v>
      </c>
      <c r="H93" t="s">
        <v>259</v>
      </c>
      <c r="I93" t="s">
        <v>161</v>
      </c>
      <c r="J93" t="s">
        <v>260</v>
      </c>
    </row>
    <row r="94" spans="7:10">
      <c r="G94">
        <v>159</v>
      </c>
      <c r="H94" t="s">
        <v>385</v>
      </c>
      <c r="I94" t="s">
        <v>386</v>
      </c>
      <c r="J94" t="s">
        <v>356</v>
      </c>
    </row>
    <row r="95" spans="7:10">
      <c r="G95">
        <v>224</v>
      </c>
      <c r="H95" t="s">
        <v>482</v>
      </c>
      <c r="I95" t="s">
        <v>483</v>
      </c>
      <c r="J95" t="s">
        <v>356</v>
      </c>
    </row>
    <row r="96" spans="7:10">
      <c r="G96">
        <v>231</v>
      </c>
      <c r="H96" t="s">
        <v>496</v>
      </c>
      <c r="I96" t="s">
        <v>497</v>
      </c>
      <c r="J96" t="s">
        <v>356</v>
      </c>
    </row>
    <row r="97" spans="7:10">
      <c r="G97">
        <v>221</v>
      </c>
      <c r="H97" t="s">
        <v>476</v>
      </c>
      <c r="I97" t="s">
        <v>475</v>
      </c>
      <c r="J97" t="s">
        <v>356</v>
      </c>
    </row>
    <row r="98" spans="7:10">
      <c r="G98">
        <v>220</v>
      </c>
      <c r="H98" t="s">
        <v>474</v>
      </c>
      <c r="I98" t="s">
        <v>475</v>
      </c>
      <c r="J98" t="s">
        <v>130</v>
      </c>
    </row>
    <row r="99" spans="7:10">
      <c r="G99">
        <v>46</v>
      </c>
      <c r="H99" t="s">
        <v>184</v>
      </c>
      <c r="I99" t="s">
        <v>185</v>
      </c>
      <c r="J99" t="s">
        <v>186</v>
      </c>
    </row>
    <row r="100" spans="7:10">
      <c r="G100">
        <v>29</v>
      </c>
      <c r="H100" t="s">
        <v>145</v>
      </c>
      <c r="I100" t="s">
        <v>146</v>
      </c>
      <c r="J100" t="s">
        <v>147</v>
      </c>
    </row>
    <row r="101" spans="7:10">
      <c r="G101">
        <v>160</v>
      </c>
      <c r="H101" t="s">
        <v>387</v>
      </c>
      <c r="I101" t="s">
        <v>388</v>
      </c>
      <c r="J101" t="s">
        <v>356</v>
      </c>
    </row>
    <row r="102" spans="7:10">
      <c r="G102">
        <v>116</v>
      </c>
      <c r="H102" t="s">
        <v>307</v>
      </c>
      <c r="I102" t="s">
        <v>122</v>
      </c>
      <c r="J102" t="s">
        <v>308</v>
      </c>
    </row>
    <row r="103" spans="7:10">
      <c r="G103">
        <v>185</v>
      </c>
      <c r="H103" t="s">
        <v>431</v>
      </c>
      <c r="I103" t="s">
        <v>122</v>
      </c>
      <c r="J103" t="s">
        <v>432</v>
      </c>
    </row>
    <row r="104" spans="7:10">
      <c r="G104">
        <v>124</v>
      </c>
      <c r="H104" t="s">
        <v>322</v>
      </c>
      <c r="I104" t="s">
        <v>122</v>
      </c>
      <c r="J104" t="s">
        <v>323</v>
      </c>
    </row>
    <row r="105" spans="7:10">
      <c r="G105">
        <v>19</v>
      </c>
      <c r="H105" t="s">
        <v>121</v>
      </c>
      <c r="I105" t="s">
        <v>122</v>
      </c>
      <c r="J105" t="s">
        <v>123</v>
      </c>
    </row>
    <row r="106" spans="7:10">
      <c r="G106">
        <v>194</v>
      </c>
      <c r="H106" t="s">
        <v>446</v>
      </c>
      <c r="I106" t="s">
        <v>122</v>
      </c>
      <c r="J106" t="s">
        <v>356</v>
      </c>
    </row>
    <row r="107" spans="7:10">
      <c r="G107">
        <v>201</v>
      </c>
      <c r="H107" t="s">
        <v>455</v>
      </c>
      <c r="I107" t="s">
        <v>453</v>
      </c>
      <c r="J107" t="s">
        <v>126</v>
      </c>
    </row>
    <row r="108" spans="7:10">
      <c r="G108">
        <v>203</v>
      </c>
      <c r="H108" t="s">
        <v>457</v>
      </c>
      <c r="I108" t="s">
        <v>453</v>
      </c>
      <c r="J108" t="s">
        <v>128</v>
      </c>
    </row>
    <row r="109" spans="7:10">
      <c r="G109">
        <v>204</v>
      </c>
      <c r="H109" t="s">
        <v>458</v>
      </c>
      <c r="I109" t="s">
        <v>453</v>
      </c>
      <c r="J109" t="s">
        <v>270</v>
      </c>
    </row>
    <row r="110" spans="7:10">
      <c r="G110">
        <v>200</v>
      </c>
      <c r="H110" t="s">
        <v>454</v>
      </c>
      <c r="I110" t="s">
        <v>453</v>
      </c>
      <c r="J110" t="s">
        <v>130</v>
      </c>
    </row>
    <row r="111" spans="7:10">
      <c r="G111">
        <v>202</v>
      </c>
      <c r="H111" t="s">
        <v>456</v>
      </c>
      <c r="I111" t="s">
        <v>453</v>
      </c>
      <c r="J111" t="s">
        <v>356</v>
      </c>
    </row>
    <row r="112" spans="7:10">
      <c r="G112">
        <v>199</v>
      </c>
      <c r="H112" t="s">
        <v>452</v>
      </c>
      <c r="I112" t="s">
        <v>453</v>
      </c>
      <c r="J112" t="s">
        <v>285</v>
      </c>
    </row>
    <row r="113" spans="7:10">
      <c r="G113">
        <v>123</v>
      </c>
      <c r="H113" t="s">
        <v>94</v>
      </c>
      <c r="I113" t="s">
        <v>161</v>
      </c>
      <c r="J113" t="s">
        <v>321</v>
      </c>
    </row>
    <row r="114" spans="7:10">
      <c r="G114">
        <v>127</v>
      </c>
      <c r="H114" t="s">
        <v>329</v>
      </c>
      <c r="I114" t="s">
        <v>161</v>
      </c>
      <c r="J114" t="s">
        <v>330</v>
      </c>
    </row>
    <row r="115" spans="7:10">
      <c r="G115">
        <v>117</v>
      </c>
      <c r="H115" t="s">
        <v>309</v>
      </c>
      <c r="I115" t="s">
        <v>161</v>
      </c>
      <c r="J115" t="s">
        <v>310</v>
      </c>
    </row>
    <row r="116" spans="7:10">
      <c r="G116">
        <v>110</v>
      </c>
      <c r="H116" t="s">
        <v>295</v>
      </c>
      <c r="I116" t="s">
        <v>161</v>
      </c>
      <c r="J116" t="s">
        <v>296</v>
      </c>
    </row>
    <row r="117" spans="7:10">
      <c r="G117">
        <v>2</v>
      </c>
      <c r="H117" t="s">
        <v>99</v>
      </c>
      <c r="I117" t="s">
        <v>161</v>
      </c>
      <c r="J117" t="s">
        <v>523</v>
      </c>
    </row>
    <row r="118" spans="7:10">
      <c r="G118">
        <v>63</v>
      </c>
      <c r="H118" t="s">
        <v>207</v>
      </c>
      <c r="I118" t="s">
        <v>161</v>
      </c>
      <c r="J118" t="s">
        <v>208</v>
      </c>
    </row>
    <row r="119" spans="7:10">
      <c r="G119">
        <v>3</v>
      </c>
      <c r="H119" t="s">
        <v>524</v>
      </c>
      <c r="I119" t="s">
        <v>161</v>
      </c>
      <c r="J119" t="s">
        <v>525</v>
      </c>
    </row>
    <row r="120" spans="7:10">
      <c r="G120">
        <v>108</v>
      </c>
      <c r="H120" t="s">
        <v>291</v>
      </c>
      <c r="I120" t="s">
        <v>161</v>
      </c>
      <c r="J120" t="s">
        <v>292</v>
      </c>
    </row>
    <row r="121" spans="7:10">
      <c r="G121">
        <v>36</v>
      </c>
      <c r="H121" t="s">
        <v>160</v>
      </c>
      <c r="I121" t="s">
        <v>161</v>
      </c>
      <c r="J121" t="s">
        <v>162</v>
      </c>
    </row>
    <row r="122" spans="7:10">
      <c r="G122">
        <v>107</v>
      </c>
      <c r="H122" t="s">
        <v>289</v>
      </c>
      <c r="I122" t="s">
        <v>161</v>
      </c>
      <c r="J122" t="s">
        <v>290</v>
      </c>
    </row>
    <row r="123" spans="7:10">
      <c r="G123">
        <v>1</v>
      </c>
      <c r="H123" t="s">
        <v>521</v>
      </c>
      <c r="I123" t="s">
        <v>161</v>
      </c>
      <c r="J123" t="s">
        <v>522</v>
      </c>
    </row>
    <row r="124" spans="7:10">
      <c r="G124">
        <v>142</v>
      </c>
      <c r="H124" t="s">
        <v>358</v>
      </c>
      <c r="I124" t="s">
        <v>161</v>
      </c>
      <c r="J124" t="s">
        <v>356</v>
      </c>
    </row>
    <row r="125" spans="7:10">
      <c r="G125">
        <v>244</v>
      </c>
      <c r="H125" t="s">
        <v>519</v>
      </c>
      <c r="I125" t="s">
        <v>514</v>
      </c>
      <c r="J125" t="s">
        <v>520</v>
      </c>
    </row>
    <row r="126" spans="7:10">
      <c r="G126">
        <v>242</v>
      </c>
      <c r="H126" t="s">
        <v>515</v>
      </c>
      <c r="I126" t="s">
        <v>514</v>
      </c>
      <c r="J126" t="s">
        <v>516</v>
      </c>
    </row>
    <row r="127" spans="7:10">
      <c r="G127">
        <v>243</v>
      </c>
      <c r="H127" t="s">
        <v>517</v>
      </c>
      <c r="I127" t="s">
        <v>514</v>
      </c>
      <c r="J127" t="s">
        <v>518</v>
      </c>
    </row>
    <row r="128" spans="7:10">
      <c r="G128">
        <v>241</v>
      </c>
      <c r="H128" t="s">
        <v>513</v>
      </c>
      <c r="I128" t="s">
        <v>514</v>
      </c>
      <c r="J128" t="s">
        <v>254</v>
      </c>
    </row>
    <row r="129" spans="7:10">
      <c r="G129">
        <v>161</v>
      </c>
      <c r="H129" t="s">
        <v>389</v>
      </c>
      <c r="I129" t="s">
        <v>390</v>
      </c>
      <c r="J129" t="s">
        <v>356</v>
      </c>
    </row>
    <row r="130" spans="7:10">
      <c r="G130">
        <v>92</v>
      </c>
      <c r="H130" t="s">
        <v>261</v>
      </c>
      <c r="I130" t="s">
        <v>161</v>
      </c>
      <c r="J130" t="s">
        <v>262</v>
      </c>
    </row>
    <row r="131" spans="7:10">
      <c r="G131">
        <v>48</v>
      </c>
      <c r="H131" t="s">
        <v>190</v>
      </c>
      <c r="I131" t="s">
        <v>188</v>
      </c>
      <c r="J131" t="s">
        <v>191</v>
      </c>
    </row>
    <row r="132" spans="7:10">
      <c r="G132">
        <v>129</v>
      </c>
      <c r="H132" t="s">
        <v>333</v>
      </c>
      <c r="I132" t="s">
        <v>125</v>
      </c>
      <c r="J132" t="s">
        <v>334</v>
      </c>
    </row>
    <row r="133" spans="7:10">
      <c r="G133">
        <v>20</v>
      </c>
      <c r="H133" t="s">
        <v>124</v>
      </c>
      <c r="I133" t="s">
        <v>125</v>
      </c>
      <c r="J133" t="s">
        <v>126</v>
      </c>
    </row>
    <row r="134" spans="7:10">
      <c r="G134">
        <v>21</v>
      </c>
      <c r="H134" t="s">
        <v>127</v>
      </c>
      <c r="I134" t="s">
        <v>125</v>
      </c>
      <c r="J134" t="s">
        <v>128</v>
      </c>
    </row>
    <row r="135" spans="7:10">
      <c r="G135">
        <v>128</v>
      </c>
      <c r="H135" t="s">
        <v>331</v>
      </c>
      <c r="I135" t="s">
        <v>125</v>
      </c>
      <c r="J135" t="s">
        <v>332</v>
      </c>
    </row>
    <row r="136" spans="7:10">
      <c r="G136">
        <v>180</v>
      </c>
      <c r="H136" t="s">
        <v>423</v>
      </c>
      <c r="I136" t="s">
        <v>125</v>
      </c>
      <c r="J136" t="s">
        <v>356</v>
      </c>
    </row>
    <row r="137" spans="7:10">
      <c r="G137">
        <v>22</v>
      </c>
      <c r="H137" t="s">
        <v>129</v>
      </c>
      <c r="I137" t="s">
        <v>125</v>
      </c>
      <c r="J137" t="s">
        <v>130</v>
      </c>
    </row>
    <row r="138" spans="7:10">
      <c r="G138">
        <v>235</v>
      </c>
      <c r="H138" t="s">
        <v>504</v>
      </c>
      <c r="I138" t="s">
        <v>505</v>
      </c>
      <c r="J138" t="s">
        <v>137</v>
      </c>
    </row>
    <row r="139" spans="7:10">
      <c r="G139">
        <v>236</v>
      </c>
      <c r="H139" t="s">
        <v>506</v>
      </c>
      <c r="I139" t="s">
        <v>505</v>
      </c>
      <c r="J139" t="s">
        <v>298</v>
      </c>
    </row>
    <row r="140" spans="7:10">
      <c r="G140">
        <v>237</v>
      </c>
      <c r="H140" t="s">
        <v>507</v>
      </c>
      <c r="I140" t="s">
        <v>505</v>
      </c>
      <c r="J140" t="s">
        <v>356</v>
      </c>
    </row>
    <row r="141" spans="7:10">
      <c r="G141">
        <v>238</v>
      </c>
      <c r="H141" t="s">
        <v>508</v>
      </c>
      <c r="I141" t="s">
        <v>505</v>
      </c>
      <c r="J141" t="s">
        <v>130</v>
      </c>
    </row>
    <row r="142" spans="7:10">
      <c r="G142">
        <v>61</v>
      </c>
      <c r="H142" t="s">
        <v>203</v>
      </c>
      <c r="I142" t="s">
        <v>161</v>
      </c>
      <c r="J142" t="s">
        <v>204</v>
      </c>
    </row>
    <row r="143" spans="7:10">
      <c r="G143">
        <v>62</v>
      </c>
      <c r="H143" t="s">
        <v>205</v>
      </c>
      <c r="I143" t="s">
        <v>161</v>
      </c>
      <c r="J143" t="s">
        <v>206</v>
      </c>
    </row>
    <row r="144" spans="7:10">
      <c r="G144">
        <v>135</v>
      </c>
      <c r="H144" t="s">
        <v>344</v>
      </c>
      <c r="I144" t="s">
        <v>152</v>
      </c>
      <c r="J144" t="s">
        <v>345</v>
      </c>
    </row>
    <row r="145" spans="7:10">
      <c r="G145">
        <v>98</v>
      </c>
      <c r="H145" t="s">
        <v>273</v>
      </c>
      <c r="I145" t="s">
        <v>152</v>
      </c>
      <c r="J145" t="s">
        <v>274</v>
      </c>
    </row>
    <row r="146" spans="7:10">
      <c r="G146">
        <v>105</v>
      </c>
      <c r="H146" t="s">
        <v>286</v>
      </c>
      <c r="I146" t="s">
        <v>152</v>
      </c>
      <c r="J146" t="s">
        <v>167</v>
      </c>
    </row>
    <row r="147" spans="7:10">
      <c r="G147">
        <v>34</v>
      </c>
      <c r="H147" t="s">
        <v>156</v>
      </c>
      <c r="I147" t="s">
        <v>152</v>
      </c>
      <c r="J147" t="s">
        <v>157</v>
      </c>
    </row>
    <row r="148" spans="7:10">
      <c r="G148">
        <v>101</v>
      </c>
      <c r="H148" t="s">
        <v>279</v>
      </c>
      <c r="I148" t="s">
        <v>152</v>
      </c>
      <c r="J148" t="s">
        <v>280</v>
      </c>
    </row>
    <row r="149" spans="7:10">
      <c r="G149">
        <v>32</v>
      </c>
      <c r="H149" t="s">
        <v>28</v>
      </c>
      <c r="I149" t="s">
        <v>152</v>
      </c>
      <c r="J149" t="s">
        <v>153</v>
      </c>
    </row>
    <row r="150" spans="7:10">
      <c r="G150">
        <v>100</v>
      </c>
      <c r="H150" t="s">
        <v>277</v>
      </c>
      <c r="I150" t="s">
        <v>152</v>
      </c>
      <c r="J150" t="s">
        <v>278</v>
      </c>
    </row>
    <row r="151" spans="7:10">
      <c r="G151">
        <v>102</v>
      </c>
      <c r="H151" t="s">
        <v>57</v>
      </c>
      <c r="I151" t="s">
        <v>152</v>
      </c>
      <c r="J151" t="s">
        <v>281</v>
      </c>
    </row>
    <row r="152" spans="7:10">
      <c r="G152">
        <v>33</v>
      </c>
      <c r="H152" t="s">
        <v>154</v>
      </c>
      <c r="I152" t="s">
        <v>152</v>
      </c>
      <c r="J152" t="s">
        <v>155</v>
      </c>
    </row>
    <row r="153" spans="7:10">
      <c r="G153">
        <v>162</v>
      </c>
      <c r="H153" t="s">
        <v>38</v>
      </c>
      <c r="I153" t="s">
        <v>152</v>
      </c>
      <c r="J153" t="s">
        <v>356</v>
      </c>
    </row>
    <row r="154" spans="7:10">
      <c r="G154">
        <v>52</v>
      </c>
      <c r="H154" t="s">
        <v>196</v>
      </c>
      <c r="I154" t="s">
        <v>185</v>
      </c>
      <c r="J154" t="s">
        <v>197</v>
      </c>
    </row>
    <row r="155" spans="7:10">
      <c r="G155">
        <v>163</v>
      </c>
      <c r="H155" t="s">
        <v>391</v>
      </c>
      <c r="I155" t="s">
        <v>392</v>
      </c>
      <c r="J155" t="s">
        <v>356</v>
      </c>
    </row>
    <row r="156" spans="7:10">
      <c r="G156">
        <v>234</v>
      </c>
      <c r="H156" t="s">
        <v>502</v>
      </c>
      <c r="I156" t="s">
        <v>503</v>
      </c>
      <c r="J156" t="s">
        <v>171</v>
      </c>
    </row>
    <row r="157" spans="7:10">
      <c r="G157">
        <v>225</v>
      </c>
      <c r="H157" t="s">
        <v>484</v>
      </c>
      <c r="I157" t="s">
        <v>485</v>
      </c>
      <c r="J157" t="s">
        <v>356</v>
      </c>
    </row>
    <row r="158" spans="7:10">
      <c r="G158">
        <v>233</v>
      </c>
      <c r="H158" t="s">
        <v>500</v>
      </c>
      <c r="I158" t="s">
        <v>501</v>
      </c>
      <c r="J158" t="s">
        <v>356</v>
      </c>
    </row>
    <row r="159" spans="7:10">
      <c r="G159">
        <v>121</v>
      </c>
      <c r="H159" t="s">
        <v>317</v>
      </c>
      <c r="I159" t="s">
        <v>318</v>
      </c>
      <c r="J159" t="s">
        <v>237</v>
      </c>
    </row>
    <row r="160" spans="7:10">
      <c r="G160">
        <v>186</v>
      </c>
      <c r="H160" t="s">
        <v>433</v>
      </c>
      <c r="I160" t="s">
        <v>318</v>
      </c>
      <c r="J160" t="s">
        <v>356</v>
      </c>
    </row>
    <row r="161" spans="7:10">
      <c r="G161">
        <v>67</v>
      </c>
      <c r="H161" t="s">
        <v>213</v>
      </c>
      <c r="I161" t="s">
        <v>214</v>
      </c>
      <c r="J161" t="s">
        <v>137</v>
      </c>
    </row>
    <row r="162" spans="7:10">
      <c r="G162">
        <v>164</v>
      </c>
      <c r="H162" t="s">
        <v>393</v>
      </c>
      <c r="I162" t="s">
        <v>214</v>
      </c>
      <c r="J162" t="s">
        <v>356</v>
      </c>
    </row>
    <row r="163" spans="7:10">
      <c r="G163">
        <v>96</v>
      </c>
      <c r="H163" t="s">
        <v>269</v>
      </c>
      <c r="I163" t="s">
        <v>125</v>
      </c>
      <c r="J163" t="s">
        <v>270</v>
      </c>
    </row>
    <row r="164" spans="7:10">
      <c r="G164">
        <v>165</v>
      </c>
      <c r="H164" t="s">
        <v>394</v>
      </c>
      <c r="I164" t="s">
        <v>395</v>
      </c>
      <c r="J164" t="s">
        <v>356</v>
      </c>
    </row>
    <row r="165" spans="7:10">
      <c r="G165">
        <v>64</v>
      </c>
      <c r="H165" t="s">
        <v>209</v>
      </c>
      <c r="I165" t="s">
        <v>161</v>
      </c>
      <c r="J165" t="s">
        <v>210</v>
      </c>
    </row>
    <row r="166" spans="7:10">
      <c r="G166">
        <v>94</v>
      </c>
      <c r="H166" t="s">
        <v>265</v>
      </c>
      <c r="I166" t="s">
        <v>161</v>
      </c>
      <c r="J166" t="s">
        <v>266</v>
      </c>
    </row>
    <row r="167" spans="7:10">
      <c r="G167">
        <v>49</v>
      </c>
      <c r="H167" t="s">
        <v>192</v>
      </c>
      <c r="I167" t="s">
        <v>161</v>
      </c>
      <c r="J167" t="s">
        <v>193</v>
      </c>
    </row>
    <row r="168" spans="7:10">
      <c r="G168">
        <v>166</v>
      </c>
      <c r="H168" t="s">
        <v>396</v>
      </c>
      <c r="I168" t="s">
        <v>397</v>
      </c>
      <c r="J168" t="s">
        <v>356</v>
      </c>
    </row>
    <row r="169" spans="7:10">
      <c r="G169">
        <v>167</v>
      </c>
      <c r="H169" t="s">
        <v>398</v>
      </c>
      <c r="I169" t="s">
        <v>399</v>
      </c>
      <c r="J169" t="s">
        <v>356</v>
      </c>
    </row>
    <row r="170" spans="7:10">
      <c r="G170">
        <v>99</v>
      </c>
      <c r="H170" t="s">
        <v>275</v>
      </c>
      <c r="I170" t="s">
        <v>152</v>
      </c>
      <c r="J170" t="s">
        <v>276</v>
      </c>
    </row>
    <row r="171" spans="7:10">
      <c r="G171">
        <v>40</v>
      </c>
      <c r="H171" t="s">
        <v>170</v>
      </c>
      <c r="I171" t="s">
        <v>132</v>
      </c>
      <c r="J171" t="s">
        <v>171</v>
      </c>
    </row>
    <row r="172" spans="7:10">
      <c r="G172">
        <v>219</v>
      </c>
      <c r="H172" t="s">
        <v>473</v>
      </c>
      <c r="I172" t="s">
        <v>132</v>
      </c>
      <c r="J172" t="s">
        <v>339</v>
      </c>
    </row>
    <row r="173" spans="7:10">
      <c r="G173">
        <v>69</v>
      </c>
      <c r="H173" t="s">
        <v>217</v>
      </c>
      <c r="I173" t="s">
        <v>132</v>
      </c>
      <c r="J173" t="s">
        <v>218</v>
      </c>
    </row>
    <row r="174" spans="7:10">
      <c r="G174">
        <v>118</v>
      </c>
      <c r="H174" t="s">
        <v>311</v>
      </c>
      <c r="I174" t="s">
        <v>132</v>
      </c>
      <c r="J174" t="s">
        <v>312</v>
      </c>
    </row>
    <row r="175" spans="7:10">
      <c r="G175">
        <v>169</v>
      </c>
      <c r="H175" t="s">
        <v>402</v>
      </c>
      <c r="I175" t="s">
        <v>132</v>
      </c>
      <c r="J175" t="s">
        <v>403</v>
      </c>
    </row>
    <row r="176" spans="7:10">
      <c r="G176">
        <v>125</v>
      </c>
      <c r="H176" t="s">
        <v>324</v>
      </c>
      <c r="I176" t="s">
        <v>132</v>
      </c>
      <c r="J176" t="s">
        <v>325</v>
      </c>
    </row>
    <row r="177" spans="7:10">
      <c r="G177">
        <v>218</v>
      </c>
      <c r="H177" t="s">
        <v>472</v>
      </c>
      <c r="I177" t="s">
        <v>132</v>
      </c>
      <c r="J177" t="s">
        <v>440</v>
      </c>
    </row>
    <row r="178" spans="7:10">
      <c r="G178">
        <v>112</v>
      </c>
      <c r="H178" t="s">
        <v>299</v>
      </c>
      <c r="I178" t="s">
        <v>132</v>
      </c>
      <c r="J178" t="s">
        <v>300</v>
      </c>
    </row>
    <row r="179" spans="7:10">
      <c r="G179">
        <v>23</v>
      </c>
      <c r="H179" t="s">
        <v>131</v>
      </c>
      <c r="I179" t="s">
        <v>132</v>
      </c>
      <c r="J179" t="s">
        <v>133</v>
      </c>
    </row>
    <row r="180" spans="7:10">
      <c r="G180">
        <v>30</v>
      </c>
      <c r="H180" t="s">
        <v>148</v>
      </c>
      <c r="I180" t="s">
        <v>132</v>
      </c>
      <c r="J180" t="s">
        <v>149</v>
      </c>
    </row>
    <row r="181" spans="7:10">
      <c r="G181">
        <v>68</v>
      </c>
      <c r="H181" t="s">
        <v>215</v>
      </c>
      <c r="I181" t="s">
        <v>132</v>
      </c>
      <c r="J181" t="s">
        <v>216</v>
      </c>
    </row>
    <row r="182" spans="7:10">
      <c r="G182">
        <v>31</v>
      </c>
      <c r="H182" t="s">
        <v>150</v>
      </c>
      <c r="I182" t="s">
        <v>132</v>
      </c>
      <c r="J182" t="s">
        <v>151</v>
      </c>
    </row>
    <row r="183" spans="7:10">
      <c r="G183">
        <v>24</v>
      </c>
      <c r="H183" t="s">
        <v>134</v>
      </c>
      <c r="I183" t="s">
        <v>132</v>
      </c>
      <c r="J183" t="s">
        <v>135</v>
      </c>
    </row>
    <row r="184" spans="7:10">
      <c r="G184">
        <v>80</v>
      </c>
      <c r="H184" t="s">
        <v>238</v>
      </c>
      <c r="I184" t="s">
        <v>132</v>
      </c>
      <c r="J184" t="s">
        <v>239</v>
      </c>
    </row>
    <row r="185" spans="7:10">
      <c r="G185">
        <v>81</v>
      </c>
      <c r="H185" t="s">
        <v>240</v>
      </c>
      <c r="I185" t="s">
        <v>132</v>
      </c>
      <c r="J185" t="s">
        <v>241</v>
      </c>
    </row>
    <row r="186" spans="7:10">
      <c r="G186">
        <v>41</v>
      </c>
      <c r="H186" t="s">
        <v>172</v>
      </c>
      <c r="I186" t="s">
        <v>132</v>
      </c>
      <c r="J186" t="s">
        <v>173</v>
      </c>
    </row>
    <row r="187" spans="7:10">
      <c r="G187">
        <v>25</v>
      </c>
      <c r="H187" t="s">
        <v>136</v>
      </c>
      <c r="I187" t="s">
        <v>132</v>
      </c>
      <c r="J187" t="s">
        <v>137</v>
      </c>
    </row>
    <row r="188" spans="7:10">
      <c r="G188">
        <v>196</v>
      </c>
      <c r="H188" t="s">
        <v>448</v>
      </c>
      <c r="I188" t="s">
        <v>132</v>
      </c>
      <c r="J188" t="s">
        <v>449</v>
      </c>
    </row>
    <row r="189" spans="7:10">
      <c r="G189">
        <v>26</v>
      </c>
      <c r="H189" t="s">
        <v>138</v>
      </c>
      <c r="I189" t="s">
        <v>132</v>
      </c>
      <c r="J189" t="s">
        <v>139</v>
      </c>
    </row>
    <row r="190" spans="7:10">
      <c r="G190">
        <v>76</v>
      </c>
      <c r="H190" t="s">
        <v>231</v>
      </c>
      <c r="I190" t="s">
        <v>132</v>
      </c>
      <c r="J190" t="s">
        <v>232</v>
      </c>
    </row>
    <row r="191" spans="7:10">
      <c r="G191">
        <v>172</v>
      </c>
      <c r="H191" t="s">
        <v>407</v>
      </c>
      <c r="I191" t="s">
        <v>132</v>
      </c>
      <c r="J191" t="s">
        <v>408</v>
      </c>
    </row>
    <row r="192" spans="7:10">
      <c r="G192">
        <v>103</v>
      </c>
      <c r="H192" t="s">
        <v>282</v>
      </c>
      <c r="I192" t="s">
        <v>132</v>
      </c>
      <c r="J192" t="s">
        <v>283</v>
      </c>
    </row>
    <row r="193" spans="7:10">
      <c r="G193">
        <v>77</v>
      </c>
      <c r="H193" t="s">
        <v>233</v>
      </c>
      <c r="I193" t="s">
        <v>132</v>
      </c>
      <c r="J193" t="s">
        <v>234</v>
      </c>
    </row>
    <row r="194" spans="7:10">
      <c r="G194">
        <v>82</v>
      </c>
      <c r="H194" t="s">
        <v>242</v>
      </c>
      <c r="I194" t="s">
        <v>132</v>
      </c>
      <c r="J194" t="s">
        <v>243</v>
      </c>
    </row>
    <row r="195" spans="7:10">
      <c r="G195">
        <v>173</v>
      </c>
      <c r="H195" t="s">
        <v>409</v>
      </c>
      <c r="I195" t="s">
        <v>132</v>
      </c>
      <c r="J195" t="s">
        <v>410</v>
      </c>
    </row>
    <row r="196" spans="7:10">
      <c r="G196">
        <v>197</v>
      </c>
      <c r="H196" t="s">
        <v>450</v>
      </c>
      <c r="I196" t="s">
        <v>132</v>
      </c>
      <c r="J196" t="s">
        <v>356</v>
      </c>
    </row>
    <row r="197" spans="7:10">
      <c r="G197">
        <v>27</v>
      </c>
      <c r="H197" t="s">
        <v>140</v>
      </c>
      <c r="I197" t="s">
        <v>132</v>
      </c>
      <c r="J197" t="s">
        <v>141</v>
      </c>
    </row>
    <row r="198" spans="7:10">
      <c r="G198">
        <v>232</v>
      </c>
      <c r="H198" t="s">
        <v>498</v>
      </c>
      <c r="I198" t="s">
        <v>499</v>
      </c>
      <c r="J198" t="s">
        <v>356</v>
      </c>
    </row>
    <row r="199" spans="7:10">
      <c r="G199">
        <v>195</v>
      </c>
      <c r="H199" t="s">
        <v>447</v>
      </c>
      <c r="I199" t="s">
        <v>435</v>
      </c>
      <c r="J199" t="s">
        <v>356</v>
      </c>
    </row>
    <row r="200" spans="7:10">
      <c r="G200">
        <v>187</v>
      </c>
      <c r="H200" t="s">
        <v>434</v>
      </c>
      <c r="I200" t="s">
        <v>435</v>
      </c>
      <c r="J200" t="s">
        <v>436</v>
      </c>
    </row>
    <row r="201" spans="7:10">
      <c r="G201">
        <v>168</v>
      </c>
      <c r="H201" t="s">
        <v>400</v>
      </c>
      <c r="I201" t="s">
        <v>401</v>
      </c>
      <c r="J201" t="s">
        <v>356</v>
      </c>
    </row>
    <row r="202" spans="7:10">
      <c r="G202">
        <v>72</v>
      </c>
      <c r="H202" t="s">
        <v>223</v>
      </c>
      <c r="I202" t="s">
        <v>175</v>
      </c>
      <c r="J202" t="s">
        <v>224</v>
      </c>
    </row>
    <row r="203" spans="7:10">
      <c r="G203">
        <v>144</v>
      </c>
      <c r="H203" t="s">
        <v>361</v>
      </c>
      <c r="I203" t="s">
        <v>362</v>
      </c>
      <c r="J203" t="s">
        <v>356</v>
      </c>
    </row>
    <row r="204" spans="7:10">
      <c r="G204">
        <v>45</v>
      </c>
      <c r="H204" t="s">
        <v>181</v>
      </c>
      <c r="I204" t="s">
        <v>182</v>
      </c>
      <c r="J204" t="s">
        <v>183</v>
      </c>
    </row>
    <row r="205" spans="7:10">
      <c r="G205">
        <v>139</v>
      </c>
      <c r="H205" t="s">
        <v>352</v>
      </c>
      <c r="I205" t="s">
        <v>353</v>
      </c>
      <c r="J205" t="s">
        <v>354</v>
      </c>
    </row>
    <row r="206" spans="7:10">
      <c r="G206">
        <v>205</v>
      </c>
      <c r="H206" t="s">
        <v>459</v>
      </c>
      <c r="I206" t="s">
        <v>438</v>
      </c>
      <c r="J206" t="s">
        <v>171</v>
      </c>
    </row>
    <row r="207" spans="7:10">
      <c r="G207">
        <v>188</v>
      </c>
      <c r="H207" t="s">
        <v>437</v>
      </c>
      <c r="I207" t="s">
        <v>438</v>
      </c>
      <c r="J207" t="s">
        <v>339</v>
      </c>
    </row>
    <row r="208" spans="7:10">
      <c r="G208">
        <v>189</v>
      </c>
      <c r="H208" t="s">
        <v>439</v>
      </c>
      <c r="I208" t="s">
        <v>438</v>
      </c>
      <c r="J208" t="s">
        <v>440</v>
      </c>
    </row>
    <row r="209" spans="7:10">
      <c r="G209">
        <v>214</v>
      </c>
      <c r="H209" t="s">
        <v>468</v>
      </c>
      <c r="I209" t="s">
        <v>438</v>
      </c>
      <c r="J209" t="s">
        <v>300</v>
      </c>
    </row>
    <row r="210" spans="7:10">
      <c r="G210">
        <v>206</v>
      </c>
      <c r="H210" t="s">
        <v>460</v>
      </c>
      <c r="I210" t="s">
        <v>438</v>
      </c>
      <c r="J210" t="s">
        <v>133</v>
      </c>
    </row>
    <row r="211" spans="7:10">
      <c r="G211">
        <v>191</v>
      </c>
      <c r="H211" t="s">
        <v>442</v>
      </c>
      <c r="I211" t="s">
        <v>438</v>
      </c>
      <c r="J211" t="s">
        <v>189</v>
      </c>
    </row>
    <row r="212" spans="7:10">
      <c r="G212">
        <v>215</v>
      </c>
      <c r="H212" t="s">
        <v>469</v>
      </c>
      <c r="I212" t="s">
        <v>438</v>
      </c>
      <c r="J212" t="s">
        <v>302</v>
      </c>
    </row>
    <row r="213" spans="7:10">
      <c r="G213">
        <v>209</v>
      </c>
      <c r="H213" t="s">
        <v>463</v>
      </c>
      <c r="I213" t="s">
        <v>438</v>
      </c>
      <c r="J213" t="s">
        <v>135</v>
      </c>
    </row>
    <row r="214" spans="7:10">
      <c r="G214">
        <v>207</v>
      </c>
      <c r="H214" t="s">
        <v>461</v>
      </c>
      <c r="I214" t="s">
        <v>438</v>
      </c>
      <c r="J214" t="s">
        <v>239</v>
      </c>
    </row>
    <row r="215" spans="7:10">
      <c r="G215">
        <v>208</v>
      </c>
      <c r="H215" t="s">
        <v>462</v>
      </c>
      <c r="I215" t="s">
        <v>438</v>
      </c>
      <c r="J215" t="s">
        <v>241</v>
      </c>
    </row>
    <row r="216" spans="7:10">
      <c r="G216">
        <v>210</v>
      </c>
      <c r="H216" t="s">
        <v>464</v>
      </c>
      <c r="I216" t="s">
        <v>438</v>
      </c>
      <c r="J216" t="s">
        <v>173</v>
      </c>
    </row>
    <row r="217" spans="7:10">
      <c r="G217">
        <v>190</v>
      </c>
      <c r="H217" t="s">
        <v>441</v>
      </c>
      <c r="I217" t="s">
        <v>438</v>
      </c>
      <c r="J217" t="s">
        <v>200</v>
      </c>
    </row>
    <row r="218" spans="7:10">
      <c r="G218">
        <v>193</v>
      </c>
      <c r="H218" t="s">
        <v>444</v>
      </c>
      <c r="I218" t="s">
        <v>438</v>
      </c>
      <c r="J218" t="s">
        <v>445</v>
      </c>
    </row>
    <row r="219" spans="7:10">
      <c r="G219">
        <v>211</v>
      </c>
      <c r="H219" t="s">
        <v>465</v>
      </c>
      <c r="I219" t="s">
        <v>438</v>
      </c>
      <c r="J219" t="s">
        <v>137</v>
      </c>
    </row>
    <row r="220" spans="7:10">
      <c r="G220">
        <v>212</v>
      </c>
      <c r="H220" t="s">
        <v>466</v>
      </c>
      <c r="I220" t="s">
        <v>438</v>
      </c>
      <c r="J220" t="s">
        <v>139</v>
      </c>
    </row>
    <row r="221" spans="7:10">
      <c r="G221">
        <v>213</v>
      </c>
      <c r="H221" t="s">
        <v>467</v>
      </c>
      <c r="I221" t="s">
        <v>438</v>
      </c>
      <c r="J221" t="s">
        <v>141</v>
      </c>
    </row>
    <row r="222" spans="7:10">
      <c r="G222">
        <v>217</v>
      </c>
      <c r="H222" t="s">
        <v>471</v>
      </c>
      <c r="I222" t="s">
        <v>438</v>
      </c>
      <c r="J222" t="s">
        <v>356</v>
      </c>
    </row>
    <row r="223" spans="7:10">
      <c r="G223">
        <v>192</v>
      </c>
      <c r="H223" t="s">
        <v>443</v>
      </c>
      <c r="I223" t="s">
        <v>438</v>
      </c>
      <c r="J223" t="s">
        <v>285</v>
      </c>
    </row>
    <row r="224" spans="7:10">
      <c r="G224">
        <v>42</v>
      </c>
      <c r="H224" t="s">
        <v>174</v>
      </c>
      <c r="I224" t="s">
        <v>175</v>
      </c>
      <c r="J224" t="s">
        <v>176</v>
      </c>
    </row>
    <row r="225" spans="7:10">
      <c r="G225">
        <v>216</v>
      </c>
      <c r="H225" t="s">
        <v>470</v>
      </c>
      <c r="I225" t="s">
        <v>175</v>
      </c>
      <c r="J225" t="s">
        <v>403</v>
      </c>
    </row>
    <row r="226" spans="7:10">
      <c r="G226">
        <v>171</v>
      </c>
      <c r="H226" t="s">
        <v>406</v>
      </c>
      <c r="I226" t="s">
        <v>175</v>
      </c>
      <c r="J226" t="s">
        <v>167</v>
      </c>
    </row>
    <row r="227" spans="7:10">
      <c r="G227">
        <v>130</v>
      </c>
      <c r="H227" t="s">
        <v>335</v>
      </c>
      <c r="I227" t="s">
        <v>175</v>
      </c>
      <c r="J227" t="s">
        <v>336</v>
      </c>
    </row>
    <row r="228" spans="7:10">
      <c r="G228">
        <v>28</v>
      </c>
      <c r="H228" t="s">
        <v>142</v>
      </c>
      <c r="I228" t="s">
        <v>143</v>
      </c>
      <c r="J228" t="s">
        <v>144</v>
      </c>
    </row>
    <row r="229" spans="7:10">
      <c r="G229">
        <v>134</v>
      </c>
      <c r="H229" t="s">
        <v>342</v>
      </c>
      <c r="I229" t="s">
        <v>175</v>
      </c>
      <c r="J229" t="s">
        <v>343</v>
      </c>
    </row>
    <row r="230" spans="7:10">
      <c r="G230">
        <v>131</v>
      </c>
      <c r="H230" t="s">
        <v>337</v>
      </c>
      <c r="I230" t="s">
        <v>175</v>
      </c>
      <c r="J230" t="s">
        <v>323</v>
      </c>
    </row>
    <row r="231" spans="7:10">
      <c r="G231">
        <v>198</v>
      </c>
      <c r="H231" t="s">
        <v>451</v>
      </c>
      <c r="I231" t="s">
        <v>175</v>
      </c>
      <c r="J231" t="s">
        <v>356</v>
      </c>
    </row>
    <row r="232" spans="7:10">
      <c r="G232">
        <v>140</v>
      </c>
      <c r="H232" t="s">
        <v>355</v>
      </c>
      <c r="I232" t="s">
        <v>146</v>
      </c>
      <c r="J232" t="s">
        <v>356</v>
      </c>
    </row>
    <row r="233" spans="7:10">
      <c r="G233">
        <v>111</v>
      </c>
      <c r="H233" t="s">
        <v>297</v>
      </c>
      <c r="I233" t="s">
        <v>182</v>
      </c>
      <c r="J233" t="s">
        <v>298</v>
      </c>
    </row>
    <row r="234" spans="7:10">
      <c r="G234">
        <v>104</v>
      </c>
      <c r="H234" t="s">
        <v>284</v>
      </c>
      <c r="I234" t="s">
        <v>132</v>
      </c>
      <c r="J234" t="s">
        <v>285</v>
      </c>
    </row>
    <row r="235" spans="7:10">
      <c r="G235">
        <v>126</v>
      </c>
      <c r="H235" t="s">
        <v>326</v>
      </c>
      <c r="I235" t="s">
        <v>327</v>
      </c>
      <c r="J235" t="s">
        <v>328</v>
      </c>
    </row>
    <row r="236" spans="7:10">
      <c r="G236">
        <v>227</v>
      </c>
      <c r="H236" t="s">
        <v>489</v>
      </c>
      <c r="I236" t="s">
        <v>487</v>
      </c>
      <c r="J236" t="s">
        <v>440</v>
      </c>
    </row>
    <row r="237" spans="7:10">
      <c r="G237">
        <v>226</v>
      </c>
      <c r="H237" t="s">
        <v>486</v>
      </c>
      <c r="I237" t="s">
        <v>487</v>
      </c>
      <c r="J237" t="s">
        <v>488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Contracts</vt:lpstr>
      <vt:lpstr>References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2013-04-22T04:25:02Z</dcterms:created>
  <dcterms:modified xsi:type="dcterms:W3CDTF">2021-06-08T03:16:24Z</dcterms:modified>
</cp:coreProperties>
</file>
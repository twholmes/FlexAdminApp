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ANU\ImplFiles\DataImportWebPortal\Adapters\Contracts\"/>
    </mc:Choice>
  </mc:AlternateContent>
  <xr:revisionPtr revIDLastSave="0" documentId="13_ncr:1_{F179B79B-C443-499D-864B-F18F7FA4D954}" xr6:coauthVersionLast="46" xr6:coauthVersionMax="46" xr10:uidLastSave="{00000000-0000-0000-0000-000000000000}"/>
  <bookViews>
    <workbookView xWindow="-120" yWindow="-120" windowWidth="29040" windowHeight="15840" xr2:uid="{EA22103C-FBC7-40FD-B0C5-1E5B46479BEA}"/>
  </bookViews>
  <sheets>
    <sheet name="Instructions" sheetId="3" r:id="rId1"/>
    <sheet name="Contracts" sheetId="1" r:id="rId2"/>
    <sheet name="Data fields" sheetId="2" state="hidden" r:id="rId3"/>
  </sheets>
  <definedNames>
    <definedName name="_xlnm._FilterDatabase" localSheetId="1" hidden="1">Contracts!$A$1:$Z$1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1" i="1" l="1"/>
  <c r="R21" i="1"/>
  <c r="Q22" i="1"/>
  <c r="R22" i="1"/>
  <c r="Q23" i="1"/>
  <c r="R23" i="1"/>
  <c r="Q24" i="1"/>
  <c r="R24" i="1"/>
  <c r="Q25" i="1"/>
  <c r="R25" i="1"/>
  <c r="Q26" i="1"/>
  <c r="R26" i="1"/>
  <c r="Q20" i="1"/>
  <c r="R20" i="1"/>
  <c r="Q19" i="1"/>
  <c r="R19" i="1"/>
  <c r="R18" i="1"/>
  <c r="Q18" i="1"/>
  <c r="Q17" i="1"/>
  <c r="R17" i="1"/>
  <c r="R16" i="1"/>
  <c r="Q16" i="1"/>
  <c r="Q15" i="1"/>
  <c r="R15" i="1"/>
  <c r="Q9" i="1"/>
  <c r="R9" i="1"/>
  <c r="Q10" i="1"/>
  <c r="R10" i="1"/>
  <c r="Q11" i="1"/>
  <c r="R11" i="1"/>
  <c r="Q12" i="1"/>
  <c r="R12" i="1"/>
  <c r="Q13" i="1"/>
  <c r="R13" i="1"/>
  <c r="Q14" i="1"/>
  <c r="R14" i="1"/>
  <c r="R8" i="1"/>
  <c r="Q8" i="1"/>
  <c r="Q7" i="1"/>
  <c r="R7" i="1"/>
  <c r="Q6" i="1"/>
  <c r="R6" i="1"/>
  <c r="R5" i="1"/>
  <c r="Q5" i="1"/>
  <c r="Q4" i="1"/>
  <c r="R4" i="1"/>
  <c r="Q3" i="1"/>
  <c r="R3" i="1"/>
  <c r="R2" i="1" l="1"/>
  <c r="Q2" i="1"/>
</calcChain>
</file>

<file path=xl/sharedStrings.xml><?xml version="1.0" encoding="utf-8"?>
<sst xmlns="http://schemas.openxmlformats.org/spreadsheetml/2006/main" count="510" uniqueCount="319">
  <si>
    <t>Expired</t>
  </si>
  <si>
    <t>Software maintenance and support</t>
  </si>
  <si>
    <t>Active</t>
  </si>
  <si>
    <t>MasterContractNo</t>
  </si>
  <si>
    <t xml:space="preserve">ContractName   </t>
  </si>
  <si>
    <t>ContractNo</t>
  </si>
  <si>
    <t>PreviousContractNo</t>
  </si>
  <si>
    <t>StartDate</t>
  </si>
  <si>
    <t>EndDate</t>
  </si>
  <si>
    <t>ReviewDate</t>
  </si>
  <si>
    <t>RenewalDate</t>
  </si>
  <si>
    <t>ContractStatusID</t>
  </si>
  <si>
    <t>ContractTypeID</t>
  </si>
  <si>
    <t>CorporateUnit</t>
  </si>
  <si>
    <t>CostCenter</t>
  </si>
  <si>
    <t>Location</t>
  </si>
  <si>
    <t>ContractNeverExpires</t>
  </si>
  <si>
    <t>Comments</t>
  </si>
  <si>
    <t>General</t>
  </si>
  <si>
    <t>Hardware maintenance and support</t>
  </si>
  <si>
    <t>VendorName</t>
  </si>
  <si>
    <t>Contract Value</t>
  </si>
  <si>
    <t>Acceptance period</t>
  </si>
  <si>
    <t>Cancellation</t>
  </si>
  <si>
    <t>Expiry</t>
  </si>
  <si>
    <t>Limitation</t>
  </si>
  <si>
    <t>Obligation</t>
  </si>
  <si>
    <t>Price Change</t>
  </si>
  <si>
    <t>Renewal</t>
  </si>
  <si>
    <t>Review</t>
  </si>
  <si>
    <t>VendorPhone</t>
  </si>
  <si>
    <t>VendorEmail</t>
  </si>
  <si>
    <t>VendorWebsite</t>
  </si>
  <si>
    <t>VendorAddressStreet</t>
  </si>
  <si>
    <t>VendorAddressCity</t>
  </si>
  <si>
    <t>VendorAddressState</t>
  </si>
  <si>
    <t>VendorAddressPostCode</t>
  </si>
  <si>
    <t>VendorAddressCountry</t>
  </si>
  <si>
    <t>T&amp;C Condition Type</t>
  </si>
  <si>
    <t>Archived</t>
  </si>
  <si>
    <t>Cancelled</t>
  </si>
  <si>
    <t>Closed</t>
  </si>
  <si>
    <t>Completed</t>
  </si>
  <si>
    <t>Draft</t>
  </si>
  <si>
    <t>Suspended</t>
  </si>
  <si>
    <t>Blanket Purchase</t>
  </si>
  <si>
    <t>Consulting services</t>
  </si>
  <si>
    <t>Insurance</t>
  </si>
  <si>
    <t>Lease</t>
  </si>
  <si>
    <t>Microsoft Business and Services Agreement</t>
  </si>
  <si>
    <t>Microsoft Enterprise Agreement</t>
  </si>
  <si>
    <t>Microsoft Enterprise Subscription Agreement</t>
  </si>
  <si>
    <t>Microsoft Select License Enrollment</t>
  </si>
  <si>
    <t>Microsoft Select License Agreement</t>
  </si>
  <si>
    <t>Microsoft Select Plus Affiliate</t>
  </si>
  <si>
    <t>Microsoft Select Plus Agreement</t>
  </si>
  <si>
    <t>Outright Purchase</t>
  </si>
  <si>
    <t>Rent</t>
  </si>
  <si>
    <t>Software license</t>
  </si>
  <si>
    <t>Subscription</t>
  </si>
  <si>
    <t>CA Master License Program</t>
  </si>
  <si>
    <t>PurchaseProgram</t>
  </si>
  <si>
    <t>Microsoft Select Agreement</t>
  </si>
  <si>
    <t>Microsoft Open Agreement</t>
  </si>
  <si>
    <t>Adobe Cumulative Licensing Program</t>
  </si>
  <si>
    <t>Adobe Transactional Licensing Program</t>
  </si>
  <si>
    <t>Adobe Site License Program</t>
  </si>
  <si>
    <t>Acronis Licensing Program</t>
  </si>
  <si>
    <t>Attachmate Volume Purchase Account</t>
  </si>
  <si>
    <t>Business Objects Open Licensing Program</t>
  </si>
  <si>
    <t>CA Open License Program</t>
  </si>
  <si>
    <t>Citrix Easy Licensing Program</t>
  </si>
  <si>
    <t>Citrix Enterprise License Program</t>
  </si>
  <si>
    <t>Citrix Open Licensing Program</t>
  </si>
  <si>
    <t>Citrix Premium Licensing Program</t>
  </si>
  <si>
    <t>Corel Contractual License</t>
  </si>
  <si>
    <t>Corel Transactional Licensing</t>
  </si>
  <si>
    <t>IBM Passport Advantage</t>
  </si>
  <si>
    <t>McAfee TSP Licensing Program</t>
  </si>
  <si>
    <t>Novell Corporate License Agreement</t>
  </si>
  <si>
    <t>Novell Master License Agreement</t>
  </si>
  <si>
    <t>Novell Volume License Agreement</t>
  </si>
  <si>
    <t>Symantec Elite</t>
  </si>
  <si>
    <t>Symantec Express</t>
  </si>
  <si>
    <t>Symantec Open Licensing Program</t>
  </si>
  <si>
    <t>Symantec Rewards</t>
  </si>
  <si>
    <t>Symantec Volume Licensing Program</t>
  </si>
  <si>
    <t>Vmware Purchasing Program</t>
  </si>
  <si>
    <t>Macromedia Volume License Program</t>
  </si>
  <si>
    <t>Symantec Enterprise Option</t>
  </si>
  <si>
    <t>Symantec Enterprise VPA</t>
  </si>
  <si>
    <t>Oracle Master Agreement</t>
  </si>
  <si>
    <t>Oracle Unlimited Agreement</t>
  </si>
  <si>
    <t>Oracle License and Services Agreement</t>
  </si>
  <si>
    <t>Adobe Enterprise Term Licensing Agreement</t>
  </si>
  <si>
    <t>Microsoft Products and Services Agreement</t>
  </si>
  <si>
    <t>IBM Passport Advantage Express</t>
  </si>
  <si>
    <t>IBM Enterprise License Agreement</t>
  </si>
  <si>
    <t>IBM Enterprise Software and Services Option</t>
  </si>
  <si>
    <t>Symantec Academic</t>
  </si>
  <si>
    <t>Symantec Government</t>
  </si>
  <si>
    <t>VMware Academic Program</t>
  </si>
  <si>
    <t>Enterprise License Agreement Program</t>
  </si>
  <si>
    <t xml:space="preserve">Government Education License Agreement Program </t>
  </si>
  <si>
    <t>Value Incentive Plan</t>
  </si>
  <si>
    <t>Learning Pass Agreement</t>
  </si>
  <si>
    <t>E-Flex Agreement</t>
  </si>
  <si>
    <t>Multi-Flex Agreement</t>
  </si>
  <si>
    <t>Services Provider Licensing Agreement</t>
  </si>
  <si>
    <t>Individual Licenses</t>
  </si>
  <si>
    <t>Package Licenses</t>
  </si>
  <si>
    <t>Government License Program</t>
  </si>
  <si>
    <t>IBM Passport Advantage Express Program</t>
  </si>
  <si>
    <t>Open Value</t>
  </si>
  <si>
    <t>Open Value Subscription</t>
  </si>
  <si>
    <t>Microsoft Online Subscription Program</t>
  </si>
  <si>
    <t>Select Plus</t>
  </si>
  <si>
    <t>Enterprise Subscription Agreement</t>
  </si>
  <si>
    <t>SAP Open License Plan</t>
  </si>
  <si>
    <t>Symantec Enterprise Options</t>
  </si>
  <si>
    <t>Symantec Academic Program</t>
  </si>
  <si>
    <t>Enterprise Purchasing Program</t>
  </si>
  <si>
    <t>Cloud Credits Purchasing Program</t>
  </si>
  <si>
    <t>Transactional Purchasing Program</t>
  </si>
  <si>
    <t>Education Enterprise Agreement</t>
  </si>
  <si>
    <t>Delivery Service Partner</t>
  </si>
  <si>
    <t>Forms Licensing Program</t>
  </si>
  <si>
    <t>Symantec Security Value Program - Academic</t>
  </si>
  <si>
    <t>Symantec Value Government Program</t>
  </si>
  <si>
    <t>Global License Program</t>
  </si>
  <si>
    <t>Adobe Enterprise Agreement</t>
  </si>
  <si>
    <t>Symantec Express Academic</t>
  </si>
  <si>
    <t>Symantec Express Government</t>
  </si>
  <si>
    <t>Symantec Value license Program - Government</t>
  </si>
  <si>
    <t>Acronis SPLA Program</t>
  </si>
  <si>
    <t>Enterprise Term License Agreement</t>
  </si>
  <si>
    <t>Autodesk Enterprise Token Flex</t>
  </si>
  <si>
    <t>Enterprise Business Agreement</t>
  </si>
  <si>
    <t>GSA Schedule</t>
  </si>
  <si>
    <t>Corel Education License Program</t>
  </si>
  <si>
    <t>Corel WinDVD Licensing</t>
  </si>
  <si>
    <t>Enrollment for Education Solutions</t>
  </si>
  <si>
    <t>ISV Royalty Licensing Program</t>
  </si>
  <si>
    <t>MSDN Academic Alliance</t>
  </si>
  <si>
    <t>Enrollment for Core Infrastructure</t>
  </si>
  <si>
    <t>Server and Cloud Enrollment</t>
  </si>
  <si>
    <t>Enrollment for Application Platform</t>
  </si>
  <si>
    <t>School License Agreement</t>
  </si>
  <si>
    <t>Academic License Agreement</t>
  </si>
  <si>
    <t>Oracle Cloud Services Agreement</t>
  </si>
  <si>
    <t>Software License and Services Agreement</t>
  </si>
  <si>
    <t>Oracle Perpetual User License Agreement</t>
  </si>
  <si>
    <t>Oracle Managed Cloud Services</t>
  </si>
  <si>
    <t>Oracle Services Agreement</t>
  </si>
  <si>
    <t>Symantec Subscription &amp; Services Program</t>
  </si>
  <si>
    <t>Volume Purchase Agreement</t>
  </si>
  <si>
    <t>Oracle Enterprise License Agreement</t>
  </si>
  <si>
    <t>Data Processing Agreement</t>
  </si>
  <si>
    <t>Microsoft School Enrollment</t>
  </si>
  <si>
    <t>Microsoft Partner Network</t>
  </si>
  <si>
    <t>Enterprise Enrollment</t>
  </si>
  <si>
    <t>Microsoft Enterprise Advantage</t>
  </si>
  <si>
    <t>Volume License Program</t>
  </si>
  <si>
    <t>Symantec Cross Territory Program</t>
  </si>
  <si>
    <t>Enterprise Service Provider</t>
  </si>
  <si>
    <t>Citrix Education License Program</t>
  </si>
  <si>
    <t>IBM Unlimited License Agreement</t>
  </si>
  <si>
    <t>McAfee Perpetual Plus Program</t>
  </si>
  <si>
    <t>Microsoft Cloud Agreement</t>
  </si>
  <si>
    <t>Symantec Academic Subscription Program</t>
  </si>
  <si>
    <t>EMC Enterprise License Agreement</t>
  </si>
  <si>
    <t>EMC Volume Software License Agreement</t>
  </si>
  <si>
    <t>Red Hat Enterprise Agreement</t>
  </si>
  <si>
    <t>Cisco Security Enterprise License Agreement</t>
  </si>
  <si>
    <t>McAfee Subscription Plus Program</t>
  </si>
  <si>
    <t>Symantec Cloud Solution Provider</t>
  </si>
  <si>
    <t>Volume Purchase Program for Education</t>
  </si>
  <si>
    <t>Microsoft Campus and School Agreement</t>
  </si>
  <si>
    <t>Novell NSW Government Program</t>
  </si>
  <si>
    <t>Novell Commonwealth Government Program</t>
  </si>
  <si>
    <t>VMware Hybrid Purchasing Program</t>
  </si>
  <si>
    <t>VMware Subscription Purchasing Program</t>
  </si>
  <si>
    <t>Autodesk Legacy Program</t>
  </si>
  <si>
    <t>Citrix Service Provider Program</t>
  </si>
  <si>
    <t>VMware Solution Provider Program</t>
  </si>
  <si>
    <t>Oracle Cloud Managed Service Provider Program</t>
  </si>
  <si>
    <t>Crystal Volume Licensing Program</t>
  </si>
  <si>
    <t>Certified Cloud and Service Provider Program</t>
  </si>
  <si>
    <t>Cisco Security Software Volume Purchasing Program</t>
  </si>
  <si>
    <t>Veeam Cloud and Service Provider Program</t>
  </si>
  <si>
    <t>Volume License</t>
  </si>
  <si>
    <t>Adobe Enterprise License Agreement</t>
  </si>
  <si>
    <t>Microsoft Volume License</t>
  </si>
  <si>
    <t>Absolute Software Volume License</t>
  </si>
  <si>
    <t>Trimble Volume License</t>
  </si>
  <si>
    <t>Apple Volume License</t>
  </si>
  <si>
    <t>Atlassian Volume License</t>
  </si>
  <si>
    <t>Autodesk Volume License</t>
  </si>
  <si>
    <t>Avecto Volume License</t>
  </si>
  <si>
    <t>Bmc Volume License</t>
  </si>
  <si>
    <t>Cisco Volume License</t>
  </si>
  <si>
    <t>Citrix Volume License</t>
  </si>
  <si>
    <t>Commvault Volume License</t>
  </si>
  <si>
    <t>Corel Volume License</t>
  </si>
  <si>
    <t>Dell Volume License</t>
  </si>
  <si>
    <t>EMC Volume License</t>
  </si>
  <si>
    <t>Hewlett Packard Volume License</t>
  </si>
  <si>
    <t>Hot Door Volume License</t>
  </si>
  <si>
    <t>Investintech Volume License</t>
  </si>
  <si>
    <t>Jamf Software Volume License</t>
  </si>
  <si>
    <t>Marklogic Volume License</t>
  </si>
  <si>
    <t>Minitab Volume License</t>
  </si>
  <si>
    <t>Oracle Volume License</t>
  </si>
  <si>
    <t>Polycom Volume License</t>
  </si>
  <si>
    <t>SAP Volume License</t>
  </si>
  <si>
    <t>Seagull Scientific Volume License</t>
  </si>
  <si>
    <t>Sharegate Volume License</t>
  </si>
  <si>
    <t>SmartsheetÂ  Volume License</t>
  </si>
  <si>
    <t>Tibco Software Volume License</t>
  </si>
  <si>
    <t>Symantec Cloud Partner Program</t>
  </si>
  <si>
    <t>Autodesk Open Licensing Program</t>
  </si>
  <si>
    <t>VMware Enterprise Licensing Agreement</t>
  </si>
  <si>
    <t>Symantec Strategic Service Provider Program</t>
  </si>
  <si>
    <t>Symantec Value Program</t>
  </si>
  <si>
    <t>Cisco Transactional Licensing Program</t>
  </si>
  <si>
    <t>Cisco Advantage Licensing Program</t>
  </si>
  <si>
    <t>Citrix U.S. Public Sector Program</t>
  </si>
  <si>
    <t>Corel Freedom Graphics Subscription License</t>
  </si>
  <si>
    <t>Dell EMC Transformational License Agreement</t>
  </si>
  <si>
    <t>Dell EMC Data Protection Subscription Licensing Program</t>
  </si>
  <si>
    <t>Novell Volume License</t>
  </si>
  <si>
    <t>Commvault Solution Set Program</t>
  </si>
  <si>
    <t>Commvault Capacity Licensing Program</t>
  </si>
  <si>
    <t>Commvault Platform Licensing Program</t>
  </si>
  <si>
    <t>Investintech Volume Licensing Program</t>
  </si>
  <si>
    <t>McAfee Protect Plus Licensing Program</t>
  </si>
  <si>
    <t>Red Hat Volume License</t>
  </si>
  <si>
    <t>Techsmith Volume Licensing Program</t>
  </si>
  <si>
    <t>Veritas Academic Licensing Program</t>
  </si>
  <si>
    <t>Veritas Corporate Licensing Program</t>
  </si>
  <si>
    <t>Veritas Government Licensing Program</t>
  </si>
  <si>
    <t>Veritas Enterprise Flex License Agreement</t>
  </si>
  <si>
    <t>Veritas Volume Purchase Agreement</t>
  </si>
  <si>
    <t>Veritas Loyalty Licensing Program</t>
  </si>
  <si>
    <t>Mcafee Volume License</t>
  </si>
  <si>
    <t>Techsmith Volume License</t>
  </si>
  <si>
    <t>Symantec Premier Value Program</t>
  </si>
  <si>
    <t>Symantec VOLUME License</t>
  </si>
  <si>
    <t>VMware VOLUME License</t>
  </si>
  <si>
    <t>Micro Focus Volume Purchase Account</t>
  </si>
  <si>
    <t>Micro Focus Novell Volume License Agreement</t>
  </si>
  <si>
    <t>Micro Focus Novell Corporate License Agreement</t>
  </si>
  <si>
    <t>Micro Focus VOLUME License</t>
  </si>
  <si>
    <t>Micro Focus Novell Master License Agreement</t>
  </si>
  <si>
    <t>Micro Focus Novell School License Agreement</t>
  </si>
  <si>
    <t>Veritas Academic</t>
  </si>
  <si>
    <t>Veritas Elite</t>
  </si>
  <si>
    <t>Veritas Express Academic</t>
  </si>
  <si>
    <t>Veritas Express Government</t>
  </si>
  <si>
    <t>Veritas Express</t>
  </si>
  <si>
    <t>Veritas Government</t>
  </si>
  <si>
    <t>Veritas Open Licensing Program</t>
  </si>
  <si>
    <t>Veritas Rewards</t>
  </si>
  <si>
    <t>Veritas Value license Program</t>
  </si>
  <si>
    <t>Veritas Cross Territory Program</t>
  </si>
  <si>
    <t>Veritas Enterprise Service Provider</t>
  </si>
  <si>
    <t>PurchaseProgramName</t>
  </si>
  <si>
    <t>Vendors</t>
  </si>
  <si>
    <t>The below are the recommended guidelines to complete this vendor and contract import:</t>
  </si>
  <si>
    <t>Section</t>
  </si>
  <si>
    <t>Mandatory</t>
  </si>
  <si>
    <t>Contracts</t>
  </si>
  <si>
    <t>No</t>
  </si>
  <si>
    <t>Yes</t>
  </si>
  <si>
    <t>Validate whether the vendor already exists in FlexNet Manager Suite. If yes, be sure to use the exact same value otherwise a new record will be created.</t>
  </si>
  <si>
    <t>Will the adaptor create / update the property in FlexNet Manager Suite?</t>
  </si>
  <si>
    <t>Recommended</t>
  </si>
  <si>
    <t>Select a value from the drop down list.</t>
  </si>
  <si>
    <t>Validate whether the corporate unit already exists in FlexNet Manager Suite. If yes, be sure to use the exact same value otherwise a new record will be created. To create a branch, use "/" as a seperator eg. Sales/Marketing/Creative</t>
  </si>
  <si>
    <t>Validate whether the cost center already exists in FlexNet Manager Suite. If yes, be sure to use the exact same value otherwise a new record will be created. To create a branch, use "/" as a seperator eg. 5555/100057/98765</t>
  </si>
  <si>
    <t>Validate whether the location already exists in FlexNet Manager Suite. If yes, be sure to use the exact same value otherwise a new record will be created. To create a branch, use "/" as a seperator eg. Australia/Victoria/Melbourne</t>
  </si>
  <si>
    <t xml:space="preserve">This is a free text field. </t>
  </si>
  <si>
    <t>This is a free text field. The operator can include the total contract value.</t>
  </si>
  <si>
    <t>Validate whether the contract number already exists in FlexNet Manager Suite. If yes, be sure to use the exact same value in order update / overwrite otherwise a new record will be created.</t>
  </si>
  <si>
    <t>Select a value from the drop down list. This will be a 'TRUE' or 'FALSE' value. TRUE = yes and FALSE = no.</t>
  </si>
  <si>
    <t>Field Name</t>
  </si>
  <si>
    <t>Must be in YYYY/MM/DD format.</t>
  </si>
  <si>
    <t>Oracle Corporation Australia Pty Limited</t>
  </si>
  <si>
    <t>Oracle Technical Support Services Contract - 2288499</t>
  </si>
  <si>
    <t>Oracle Technical Support Services Contract - 4818115</t>
  </si>
  <si>
    <t>Oracle Technical Support Services Contract - 19268876</t>
  </si>
  <si>
    <t>Oracle Technical Support Services Contract - 5497111</t>
  </si>
  <si>
    <t>Oracle Technical Support Services Contract - 4296783</t>
  </si>
  <si>
    <t>SUN-ANU-AX-A</t>
  </si>
  <si>
    <t>Oracle Technical Support Services Contract - SUN-ANU-AX-A</t>
  </si>
  <si>
    <t>Oracle CSI Contract # (15470200) - SW Update License &amp; Support 062022</t>
  </si>
  <si>
    <t>Oracle CSI Contract # (17561345 (2288499)) - SW Update License &amp; Support 062022</t>
  </si>
  <si>
    <t>Oracle CSI Contract # (17755731 (2288499)) - SW Update License &amp; Support 062022</t>
  </si>
  <si>
    <t>Oracle CSI Contract # (14496004) - SW Update License &amp; Support 062022</t>
  </si>
  <si>
    <t>Oracle CSI Contract # (18064092) - SW Update License &amp; Support 062022</t>
  </si>
  <si>
    <t>Oracle CSI Contract # (18846129) - SW Update License &amp; Support 062022</t>
  </si>
  <si>
    <t>Oracle CSI Contract # (14495754) - SW Update License &amp; Support 062022</t>
  </si>
  <si>
    <t>Oracle CSI Contract # (17755731 (4818115)) - SW Update License &amp; Support 062022</t>
  </si>
  <si>
    <t>Oracle CSI Contract # (17561345 (19268876)) - SW Update License &amp; Support 082022</t>
  </si>
  <si>
    <t>Oracle CSI Contract # (17755731 (19268876)) - SW Update License &amp; Support 082022</t>
  </si>
  <si>
    <t>Oracle CSI Contract # (18557629) - SW Update License &amp; Support 062022</t>
  </si>
  <si>
    <t>Oracle CSI Contract # (17507206) - SW Update License &amp; Support 062022</t>
  </si>
  <si>
    <t>Oracle CSI Contract # (18555685) - SW Update License &amp; Support 062022</t>
  </si>
  <si>
    <t>Oracle CSI Contract # (17148339) - HW Premier Support 062022</t>
  </si>
  <si>
    <t>Oracle CSI Contract # (18241165) - HW Premier Support 062022</t>
  </si>
  <si>
    <t>Oracle CSI Contract # (17033282) - HW Premier Support 062022</t>
  </si>
  <si>
    <t>Oracle CSI Contract # (17056927) - HW Premier Support 062022</t>
  </si>
  <si>
    <t>Oracle CSI Contract # (17247467) - HW Premier Support 062022</t>
  </si>
  <si>
    <t>Oracle CSI Contract # (18170761) - HW Premier Support 062022</t>
  </si>
  <si>
    <t>17561345 (Master # 2288499)</t>
  </si>
  <si>
    <t>17755731 (Master # 2288499)</t>
  </si>
  <si>
    <t>17755731 (Master # 4818115)</t>
  </si>
  <si>
    <t>17561345 (Master # 19268876)</t>
  </si>
  <si>
    <t>17755731 (Master # 19268876)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</si>
</sst>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yyyy\-mm\-dd;@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Nova"/>
      <family val="2"/>
    </font>
    <font>
      <sz val="10"/>
      <color theme="0"/>
      <name val="Arial Nova"/>
      <family val="2"/>
    </font>
    <font>
      <b/>
      <sz val="10"/>
      <color theme="0"/>
      <name val="Arial Nova"/>
      <family val="2"/>
    </font>
    <font>
      <sz val="10"/>
      <name val="Arial Nov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4" fillId="0" borderId="0" xfId="2"/>
    <xf numFmtId="0" fontId="5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164" fontId="2" fillId="4" borderId="0" xfId="0" applyNumberFormat="1" applyFont="1" applyFill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8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165" fontId="0" fillId="0" borderId="0" xfId="1" applyNumberFormat="1" applyFont="1"/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40E0-CAEE-46D3-A096-D850779B4CCD}">
  <dimension ref="A1:E29"/>
  <sheetViews>
    <sheetView tabSelected="1" workbookViewId="0">
      <selection activeCell="B25" sqref="B25"/>
    </sheetView>
  </sheetViews>
  <sheetFormatPr defaultColWidth="8.85546875" defaultRowHeight="12.75" x14ac:dyDescent="0.2"/>
  <cols>
    <col min="1" max="1" width="22.42578125" style="5" customWidth="1"/>
    <col min="2" max="4" width="23.7109375" style="5" customWidth="1"/>
    <col min="5" max="5" width="134.28515625" style="5" customWidth="1"/>
    <col min="6" max="16384" width="8.85546875" style="5"/>
  </cols>
  <sheetData>
    <row r="1" spans="1:5" x14ac:dyDescent="0.2">
      <c r="A1" s="5" t="s">
        <v>268</v>
      </c>
    </row>
    <row r="3" spans="1:5" ht="38.25" x14ac:dyDescent="0.2">
      <c r="A3" s="15" t="s">
        <v>269</v>
      </c>
      <c r="B3" s="15" t="s">
        <v>285</v>
      </c>
      <c r="C3" s="15" t="s">
        <v>270</v>
      </c>
      <c r="D3" s="16" t="s">
        <v>275</v>
      </c>
      <c r="E3" s="15" t="s">
        <v>17</v>
      </c>
    </row>
    <row r="4" spans="1:5" x14ac:dyDescent="0.2">
      <c r="A4" s="19" t="s">
        <v>267</v>
      </c>
      <c r="B4" s="9" t="s">
        <v>20</v>
      </c>
      <c r="C4" s="10" t="s">
        <v>272</v>
      </c>
      <c r="D4" s="10" t="s">
        <v>273</v>
      </c>
      <c r="E4" s="11" t="s">
        <v>274</v>
      </c>
    </row>
    <row r="5" spans="1:5" x14ac:dyDescent="0.2">
      <c r="A5" s="19"/>
      <c r="B5" s="9" t="s">
        <v>30</v>
      </c>
      <c r="C5" s="10" t="s">
        <v>272</v>
      </c>
      <c r="D5" s="10" t="s">
        <v>273</v>
      </c>
      <c r="E5" s="11"/>
    </row>
    <row r="6" spans="1:5" x14ac:dyDescent="0.2">
      <c r="A6" s="19"/>
      <c r="B6" s="9" t="s">
        <v>31</v>
      </c>
      <c r="C6" s="10" t="s">
        <v>272</v>
      </c>
      <c r="D6" s="10" t="s">
        <v>273</v>
      </c>
      <c r="E6" s="11"/>
    </row>
    <row r="7" spans="1:5" x14ac:dyDescent="0.2">
      <c r="A7" s="19"/>
      <c r="B7" s="9" t="s">
        <v>32</v>
      </c>
      <c r="C7" s="10" t="s">
        <v>272</v>
      </c>
      <c r="D7" s="10" t="s">
        <v>273</v>
      </c>
      <c r="E7" s="11"/>
    </row>
    <row r="8" spans="1:5" x14ac:dyDescent="0.2">
      <c r="A8" s="19"/>
      <c r="B8" s="9" t="s">
        <v>33</v>
      </c>
      <c r="C8" s="10" t="s">
        <v>272</v>
      </c>
      <c r="D8" s="10" t="s">
        <v>273</v>
      </c>
      <c r="E8" s="11"/>
    </row>
    <row r="9" spans="1:5" x14ac:dyDescent="0.2">
      <c r="A9" s="19"/>
      <c r="B9" s="9" t="s">
        <v>34</v>
      </c>
      <c r="C9" s="10" t="s">
        <v>272</v>
      </c>
      <c r="D9" s="10" t="s">
        <v>273</v>
      </c>
      <c r="E9" s="11"/>
    </row>
    <row r="10" spans="1:5" x14ac:dyDescent="0.2">
      <c r="A10" s="19"/>
      <c r="B10" s="9" t="s">
        <v>35</v>
      </c>
      <c r="C10" s="10" t="s">
        <v>272</v>
      </c>
      <c r="D10" s="10" t="s">
        <v>273</v>
      </c>
      <c r="E10" s="11"/>
    </row>
    <row r="11" spans="1:5" x14ac:dyDescent="0.2">
      <c r="A11" s="19"/>
      <c r="B11" s="9" t="s">
        <v>36</v>
      </c>
      <c r="C11" s="10" t="s">
        <v>272</v>
      </c>
      <c r="D11" s="10" t="s">
        <v>273</v>
      </c>
      <c r="E11" s="11"/>
    </row>
    <row r="12" spans="1:5" x14ac:dyDescent="0.2">
      <c r="A12" s="19"/>
      <c r="B12" s="9" t="s">
        <v>37</v>
      </c>
      <c r="C12" s="10" t="s">
        <v>272</v>
      </c>
      <c r="D12" s="10" t="s">
        <v>273</v>
      </c>
      <c r="E12" s="11"/>
    </row>
    <row r="13" spans="1:5" x14ac:dyDescent="0.2">
      <c r="A13" s="20" t="s">
        <v>271</v>
      </c>
      <c r="B13" s="12" t="s">
        <v>3</v>
      </c>
      <c r="C13" s="13" t="s">
        <v>272</v>
      </c>
      <c r="D13" s="13" t="s">
        <v>273</v>
      </c>
      <c r="E13" s="14"/>
    </row>
    <row r="14" spans="1:5" x14ac:dyDescent="0.2">
      <c r="A14" s="20"/>
      <c r="B14" s="12" t="s">
        <v>4</v>
      </c>
      <c r="C14" s="13" t="s">
        <v>276</v>
      </c>
      <c r="D14" s="13" t="s">
        <v>273</v>
      </c>
      <c r="E14" s="14"/>
    </row>
    <row r="15" spans="1:5" ht="25.5" x14ac:dyDescent="0.2">
      <c r="A15" s="20"/>
      <c r="B15" s="12" t="s">
        <v>5</v>
      </c>
      <c r="C15" s="13" t="s">
        <v>276</v>
      </c>
      <c r="D15" s="13" t="s">
        <v>273</v>
      </c>
      <c r="E15" s="14" t="s">
        <v>283</v>
      </c>
    </row>
    <row r="16" spans="1:5" x14ac:dyDescent="0.2">
      <c r="A16" s="20"/>
      <c r="B16" s="12" t="s">
        <v>61</v>
      </c>
      <c r="C16" s="13" t="s">
        <v>276</v>
      </c>
      <c r="D16" s="13" t="s">
        <v>273</v>
      </c>
      <c r="E16" s="14" t="s">
        <v>277</v>
      </c>
    </row>
    <row r="17" spans="1:5" x14ac:dyDescent="0.2">
      <c r="A17" s="20"/>
      <c r="B17" s="12" t="s">
        <v>6</v>
      </c>
      <c r="C17" s="13" t="s">
        <v>272</v>
      </c>
      <c r="D17" s="13" t="s">
        <v>273</v>
      </c>
      <c r="E17" s="14"/>
    </row>
    <row r="18" spans="1:5" x14ac:dyDescent="0.2">
      <c r="A18" s="20"/>
      <c r="B18" s="12" t="s">
        <v>7</v>
      </c>
      <c r="C18" s="13" t="s">
        <v>276</v>
      </c>
      <c r="D18" s="13" t="s">
        <v>273</v>
      </c>
      <c r="E18" s="14" t="s">
        <v>286</v>
      </c>
    </row>
    <row r="19" spans="1:5" x14ac:dyDescent="0.2">
      <c r="A19" s="20"/>
      <c r="B19" s="12" t="s">
        <v>8</v>
      </c>
      <c r="C19" s="13" t="s">
        <v>276</v>
      </c>
      <c r="D19" s="13" t="s">
        <v>273</v>
      </c>
      <c r="E19" s="14" t="s">
        <v>286</v>
      </c>
    </row>
    <row r="20" spans="1:5" x14ac:dyDescent="0.2">
      <c r="A20" s="20"/>
      <c r="B20" s="12" t="s">
        <v>9</v>
      </c>
      <c r="C20" s="13" t="s">
        <v>272</v>
      </c>
      <c r="D20" s="13" t="s">
        <v>273</v>
      </c>
      <c r="E20" s="14" t="s">
        <v>286</v>
      </c>
    </row>
    <row r="21" spans="1:5" x14ac:dyDescent="0.2">
      <c r="A21" s="20"/>
      <c r="B21" s="12" t="s">
        <v>10</v>
      </c>
      <c r="C21" s="13" t="s">
        <v>272</v>
      </c>
      <c r="D21" s="13" t="s">
        <v>273</v>
      </c>
      <c r="E21" s="14" t="s">
        <v>286</v>
      </c>
    </row>
    <row r="22" spans="1:5" x14ac:dyDescent="0.2">
      <c r="A22" s="20"/>
      <c r="B22" s="12" t="s">
        <v>11</v>
      </c>
      <c r="C22" s="13" t="s">
        <v>276</v>
      </c>
      <c r="D22" s="13" t="s">
        <v>273</v>
      </c>
      <c r="E22" s="14" t="s">
        <v>277</v>
      </c>
    </row>
    <row r="23" spans="1:5" x14ac:dyDescent="0.2">
      <c r="A23" s="20"/>
      <c r="B23" s="12" t="s">
        <v>12</v>
      </c>
      <c r="C23" s="13" t="s">
        <v>276</v>
      </c>
      <c r="D23" s="13" t="s">
        <v>273</v>
      </c>
      <c r="E23" s="14" t="s">
        <v>277</v>
      </c>
    </row>
    <row r="24" spans="1:5" ht="25.5" x14ac:dyDescent="0.2">
      <c r="A24" s="20"/>
      <c r="B24" s="12" t="s">
        <v>13</v>
      </c>
      <c r="C24" s="13" t="s">
        <v>272</v>
      </c>
      <c r="D24" s="13" t="s">
        <v>273</v>
      </c>
      <c r="E24" s="14" t="s">
        <v>278</v>
      </c>
    </row>
    <row r="25" spans="1:5" ht="25.5" x14ac:dyDescent="0.2">
      <c r="A25" s="20"/>
      <c r="B25" s="12" t="s">
        <v>14</v>
      </c>
      <c r="C25" s="13" t="s">
        <v>272</v>
      </c>
      <c r="D25" s="13" t="s">
        <v>273</v>
      </c>
      <c r="E25" s="14" t="s">
        <v>279</v>
      </c>
    </row>
    <row r="26" spans="1:5" ht="25.5" x14ac:dyDescent="0.2">
      <c r="A26" s="20"/>
      <c r="B26" s="12" t="s">
        <v>15</v>
      </c>
      <c r="C26" s="13" t="s">
        <v>272</v>
      </c>
      <c r="D26" s="13" t="s">
        <v>273</v>
      </c>
      <c r="E26" s="14" t="s">
        <v>280</v>
      </c>
    </row>
    <row r="27" spans="1:5" x14ac:dyDescent="0.2">
      <c r="A27" s="20"/>
      <c r="B27" s="12" t="s">
        <v>16</v>
      </c>
      <c r="C27" s="13" t="s">
        <v>276</v>
      </c>
      <c r="D27" s="13" t="s">
        <v>273</v>
      </c>
      <c r="E27" s="14" t="s">
        <v>284</v>
      </c>
    </row>
    <row r="28" spans="1:5" x14ac:dyDescent="0.2">
      <c r="A28" s="20"/>
      <c r="B28" s="12" t="s">
        <v>17</v>
      </c>
      <c r="C28" s="13" t="s">
        <v>272</v>
      </c>
      <c r="D28" s="13" t="s">
        <v>273</v>
      </c>
      <c r="E28" s="14" t="s">
        <v>281</v>
      </c>
    </row>
    <row r="29" spans="1:5" x14ac:dyDescent="0.2">
      <c r="A29" s="20"/>
      <c r="B29" s="12" t="s">
        <v>21</v>
      </c>
      <c r="C29" s="13" t="s">
        <v>272</v>
      </c>
      <c r="D29" s="13" t="s">
        <v>273</v>
      </c>
      <c r="E29" s="14" t="s">
        <v>282</v>
      </c>
    </row>
  </sheetData>
  <mergeCells count="2">
    <mergeCell ref="A4:A12"/>
    <mergeCell ref="A13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D967-FA38-47D2-92F3-0BE51019E423}">
  <dimension ref="A1:Z26"/>
  <sheetViews>
    <sheetView zoomScale="90" zoomScaleNormal="90" workbookViewId="0">
      <pane ySplit="1" topLeftCell="A2" activePane="bottomLeft" state="frozen"/>
      <selection activeCell="D1" sqref="D1"/>
      <selection pane="bottomLeft" activeCell="AA1" sqref="AA1:AF1048576"/>
    </sheetView>
  </sheetViews>
  <sheetFormatPr defaultRowHeight="15" x14ac:dyDescent="0.25"/>
  <cols>
    <col min="1" max="1" width="36.5703125" bestFit="1" customWidth="1"/>
    <col min="2" max="2" width="14.85546875" bestFit="1" customWidth="1"/>
    <col min="3" max="3" width="24.28515625" bestFit="1" customWidth="1"/>
    <col min="4" max="4" width="22.42578125" bestFit="1" customWidth="1"/>
    <col min="5" max="5" width="21.28515625" bestFit="1" customWidth="1"/>
    <col min="6" max="6" width="19.7109375" bestFit="1" customWidth="1"/>
    <col min="7" max="7" width="20.7109375" bestFit="1" customWidth="1"/>
    <col min="8" max="8" width="24.5703125" bestFit="1" customWidth="1"/>
    <col min="9" max="9" width="23.28515625" bestFit="1" customWidth="1"/>
    <col min="10" max="10" width="19.28515625" bestFit="1" customWidth="1"/>
    <col min="11" max="11" width="75.140625" bestFit="1" customWidth="1"/>
    <col min="12" max="12" width="20.42578125" bestFit="1" customWidth="1"/>
    <col min="13" max="13" width="28.28515625" bestFit="1" customWidth="1"/>
    <col min="14" max="14" width="20.7109375" bestFit="1" customWidth="1"/>
    <col min="15" max="15" width="11.28515625" bestFit="1" customWidth="1"/>
    <col min="16" max="16" width="11" bestFit="1" customWidth="1"/>
    <col min="17" max="17" width="13.28515625" bestFit="1" customWidth="1"/>
    <col min="18" max="18" width="14.42578125" bestFit="1" customWidth="1"/>
    <col min="19" max="19" width="18" customWidth="1"/>
    <col min="20" max="20" width="32.28515625" bestFit="1" customWidth="1"/>
    <col min="21" max="21" width="21.5703125" bestFit="1" customWidth="1"/>
    <col min="22" max="22" width="12.7109375" bestFit="1" customWidth="1"/>
    <col min="23" max="23" width="26.85546875" bestFit="1" customWidth="1"/>
    <col min="24" max="24" width="22.140625" bestFit="1" customWidth="1"/>
    <col min="25" max="25" width="12.28515625" bestFit="1" customWidth="1"/>
    <col min="26" max="26" width="16" bestFit="1" customWidth="1"/>
    <col min="30" max="30" width="8.85546875" customWidth="1"/>
  </cols>
  <sheetData>
    <row r="1" spans="1:26" x14ac:dyDescent="0.25">
      <c r="A1" s="2" t="s">
        <v>20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6" t="s">
        <v>3</v>
      </c>
      <c r="K1" s="6" t="s">
        <v>4</v>
      </c>
      <c r="L1" s="7" t="s">
        <v>5</v>
      </c>
      <c r="M1" s="7" t="s">
        <v>61</v>
      </c>
      <c r="N1" s="6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6" t="s">
        <v>17</v>
      </c>
      <c r="Z1" s="6" t="s">
        <v>21</v>
      </c>
    </row>
    <row r="2" spans="1:26" x14ac:dyDescent="0.25">
      <c r="A2" t="s">
        <v>287</v>
      </c>
      <c r="C2" s="4"/>
      <c r="D2" s="4"/>
      <c r="J2" s="17"/>
      <c r="K2" t="s">
        <v>288</v>
      </c>
      <c r="L2" s="17">
        <v>2288499</v>
      </c>
      <c r="M2" t="s">
        <v>91</v>
      </c>
      <c r="O2" s="1">
        <v>44013</v>
      </c>
      <c r="P2" s="1">
        <v>44742</v>
      </c>
      <c r="Q2" s="1">
        <f t="shared" ref="Q2:Q8" si="0">P2-180</f>
        <v>44562</v>
      </c>
      <c r="R2" s="1">
        <f t="shared" ref="R2:R8" si="1">P2+1</f>
        <v>44743</v>
      </c>
      <c r="S2" t="s">
        <v>2</v>
      </c>
      <c r="T2" t="s">
        <v>58</v>
      </c>
      <c r="X2" t="b">
        <v>0</v>
      </c>
      <c r="Z2" s="18">
        <v>435224.74</v>
      </c>
    </row>
    <row r="3" spans="1:26" x14ac:dyDescent="0.25">
      <c r="A3" t="s">
        <v>287</v>
      </c>
      <c r="J3" s="17"/>
      <c r="K3" t="s">
        <v>289</v>
      </c>
      <c r="L3" s="17">
        <v>4818115</v>
      </c>
      <c r="M3" t="s">
        <v>91</v>
      </c>
      <c r="O3" s="1">
        <v>44013</v>
      </c>
      <c r="P3" s="1">
        <v>44742</v>
      </c>
      <c r="Q3" s="1">
        <f t="shared" si="0"/>
        <v>44562</v>
      </c>
      <c r="R3" s="1">
        <f t="shared" si="1"/>
        <v>44743</v>
      </c>
      <c r="S3" t="s">
        <v>2</v>
      </c>
      <c r="T3" t="s">
        <v>58</v>
      </c>
      <c r="X3" t="b">
        <v>0</v>
      </c>
      <c r="Z3" s="18">
        <v>1691029.7</v>
      </c>
    </row>
    <row r="4" spans="1:26" x14ac:dyDescent="0.25">
      <c r="A4" t="s">
        <v>287</v>
      </c>
      <c r="J4" s="17"/>
      <c r="K4" t="s">
        <v>290</v>
      </c>
      <c r="L4" s="17">
        <v>19268876</v>
      </c>
      <c r="M4" t="s">
        <v>91</v>
      </c>
      <c r="O4" s="1">
        <v>44070</v>
      </c>
      <c r="P4" s="1">
        <v>44799</v>
      </c>
      <c r="Q4" s="1">
        <f t="shared" si="0"/>
        <v>44619</v>
      </c>
      <c r="R4" s="1">
        <f t="shared" si="1"/>
        <v>44800</v>
      </c>
      <c r="S4" t="s">
        <v>2</v>
      </c>
      <c r="T4" t="s">
        <v>58</v>
      </c>
      <c r="X4" t="b">
        <v>0</v>
      </c>
      <c r="Z4" s="18">
        <v>33035.199999999997</v>
      </c>
    </row>
    <row r="5" spans="1:26" x14ac:dyDescent="0.25">
      <c r="A5" t="s">
        <v>287</v>
      </c>
      <c r="J5" s="17"/>
      <c r="K5" t="s">
        <v>291</v>
      </c>
      <c r="L5" s="17">
        <v>5497111</v>
      </c>
      <c r="M5" t="s">
        <v>91</v>
      </c>
      <c r="O5" s="1">
        <v>44013</v>
      </c>
      <c r="P5" s="1">
        <v>44742</v>
      </c>
      <c r="Q5" s="1">
        <f t="shared" si="0"/>
        <v>44562</v>
      </c>
      <c r="R5" s="1">
        <f t="shared" si="1"/>
        <v>44743</v>
      </c>
      <c r="S5" t="s">
        <v>2</v>
      </c>
      <c r="T5" t="s">
        <v>58</v>
      </c>
      <c r="X5" t="b">
        <v>0</v>
      </c>
      <c r="Z5" s="18">
        <v>253213.08</v>
      </c>
    </row>
    <row r="6" spans="1:26" x14ac:dyDescent="0.25">
      <c r="A6" t="s">
        <v>287</v>
      </c>
      <c r="J6" s="17"/>
      <c r="K6" t="s">
        <v>292</v>
      </c>
      <c r="L6" s="17">
        <v>4296783</v>
      </c>
      <c r="M6" t="s">
        <v>91</v>
      </c>
      <c r="O6" s="1">
        <v>44013</v>
      </c>
      <c r="P6" s="1">
        <v>44742</v>
      </c>
      <c r="Q6" s="1">
        <f t="shared" si="0"/>
        <v>44562</v>
      </c>
      <c r="R6" s="1">
        <f t="shared" si="1"/>
        <v>44743</v>
      </c>
      <c r="S6" t="s">
        <v>2</v>
      </c>
      <c r="T6" t="s">
        <v>58</v>
      </c>
      <c r="X6" t="b">
        <v>0</v>
      </c>
      <c r="Z6" s="18">
        <v>73118.64</v>
      </c>
    </row>
    <row r="7" spans="1:26" x14ac:dyDescent="0.25">
      <c r="A7" t="s">
        <v>287</v>
      </c>
      <c r="J7" s="17"/>
      <c r="K7" t="s">
        <v>294</v>
      </c>
      <c r="L7" s="17" t="s">
        <v>293</v>
      </c>
      <c r="M7" t="s">
        <v>91</v>
      </c>
      <c r="O7" s="1">
        <v>44013</v>
      </c>
      <c r="P7" s="1">
        <v>44742</v>
      </c>
      <c r="Q7" s="1">
        <f t="shared" si="0"/>
        <v>44562</v>
      </c>
      <c r="R7" s="1">
        <f t="shared" si="1"/>
        <v>44743</v>
      </c>
      <c r="S7" t="s">
        <v>2</v>
      </c>
      <c r="T7" t="s">
        <v>19</v>
      </c>
      <c r="X7" t="b">
        <v>0</v>
      </c>
      <c r="Z7" s="18">
        <v>78591.539999999994</v>
      </c>
    </row>
    <row r="8" spans="1:26" x14ac:dyDescent="0.25">
      <c r="A8" t="s">
        <v>287</v>
      </c>
      <c r="J8" s="17">
        <v>2288499</v>
      </c>
      <c r="K8" t="s">
        <v>295</v>
      </c>
      <c r="L8" s="17">
        <v>15470200</v>
      </c>
      <c r="M8" t="s">
        <v>212</v>
      </c>
      <c r="O8" s="1">
        <v>44013</v>
      </c>
      <c r="P8" s="1">
        <v>44742</v>
      </c>
      <c r="Q8" s="1">
        <f t="shared" si="0"/>
        <v>44562</v>
      </c>
      <c r="R8" s="1">
        <f t="shared" si="1"/>
        <v>44743</v>
      </c>
      <c r="S8" t="s">
        <v>2</v>
      </c>
      <c r="T8" t="s">
        <v>58</v>
      </c>
      <c r="X8" t="b">
        <v>0</v>
      </c>
    </row>
    <row r="9" spans="1:26" x14ac:dyDescent="0.25">
      <c r="A9" t="s">
        <v>287</v>
      </c>
      <c r="J9" s="17">
        <v>2288499</v>
      </c>
      <c r="K9" t="s">
        <v>296</v>
      </c>
      <c r="L9" s="17" t="s">
        <v>314</v>
      </c>
      <c r="M9" t="s">
        <v>212</v>
      </c>
      <c r="O9" s="1">
        <v>44013</v>
      </c>
      <c r="P9" s="1">
        <v>44742</v>
      </c>
      <c r="Q9" s="1">
        <f t="shared" ref="Q9:Q15" si="2">P9-180</f>
        <v>44562</v>
      </c>
      <c r="R9" s="1">
        <f t="shared" ref="R9:R14" si="3">P9+1</f>
        <v>44743</v>
      </c>
      <c r="S9" t="s">
        <v>2</v>
      </c>
      <c r="T9" t="s">
        <v>58</v>
      </c>
      <c r="X9" t="b">
        <v>0</v>
      </c>
    </row>
    <row r="10" spans="1:26" x14ac:dyDescent="0.25">
      <c r="A10" t="s">
        <v>287</v>
      </c>
      <c r="J10" s="17">
        <v>2288499</v>
      </c>
      <c r="K10" t="s">
        <v>297</v>
      </c>
      <c r="L10" s="17" t="s">
        <v>315</v>
      </c>
      <c r="M10" t="s">
        <v>212</v>
      </c>
      <c r="O10" s="1">
        <v>44013</v>
      </c>
      <c r="P10" s="1">
        <v>44742</v>
      </c>
      <c r="Q10" s="1">
        <f t="shared" si="2"/>
        <v>44562</v>
      </c>
      <c r="R10" s="1">
        <f t="shared" si="3"/>
        <v>44743</v>
      </c>
      <c r="S10" t="s">
        <v>2</v>
      </c>
      <c r="T10" t="s">
        <v>58</v>
      </c>
      <c r="X10" t="b">
        <v>0</v>
      </c>
    </row>
    <row r="11" spans="1:26" x14ac:dyDescent="0.25">
      <c r="A11" t="s">
        <v>287</v>
      </c>
      <c r="J11" s="17">
        <v>2288499</v>
      </c>
      <c r="K11" t="s">
        <v>298</v>
      </c>
      <c r="L11" s="17">
        <v>14496004</v>
      </c>
      <c r="M11" t="s">
        <v>212</v>
      </c>
      <c r="O11" s="1">
        <v>44013</v>
      </c>
      <c r="P11" s="1">
        <v>44742</v>
      </c>
      <c r="Q11" s="1">
        <f t="shared" si="2"/>
        <v>44562</v>
      </c>
      <c r="R11" s="1">
        <f t="shared" si="3"/>
        <v>44743</v>
      </c>
      <c r="S11" t="s">
        <v>2</v>
      </c>
      <c r="T11" t="s">
        <v>58</v>
      </c>
      <c r="X11" t="b">
        <v>0</v>
      </c>
    </row>
    <row r="12" spans="1:26" x14ac:dyDescent="0.25">
      <c r="A12" t="s">
        <v>287</v>
      </c>
      <c r="J12" s="17">
        <v>2288499</v>
      </c>
      <c r="K12" t="s">
        <v>299</v>
      </c>
      <c r="L12" s="17">
        <v>18064092</v>
      </c>
      <c r="M12" t="s">
        <v>212</v>
      </c>
      <c r="O12" s="1">
        <v>44013</v>
      </c>
      <c r="P12" s="1">
        <v>44742</v>
      </c>
      <c r="Q12" s="1">
        <f t="shared" si="2"/>
        <v>44562</v>
      </c>
      <c r="R12" s="1">
        <f t="shared" si="3"/>
        <v>44743</v>
      </c>
      <c r="S12" t="s">
        <v>2</v>
      </c>
      <c r="T12" t="s">
        <v>58</v>
      </c>
      <c r="X12" t="b">
        <v>0</v>
      </c>
    </row>
    <row r="13" spans="1:26" x14ac:dyDescent="0.25">
      <c r="A13" t="s">
        <v>287</v>
      </c>
      <c r="J13" s="17">
        <v>2288499</v>
      </c>
      <c r="K13" t="s">
        <v>300</v>
      </c>
      <c r="L13" s="17">
        <v>18846129</v>
      </c>
      <c r="M13" t="s">
        <v>212</v>
      </c>
      <c r="O13" s="1">
        <v>44013</v>
      </c>
      <c r="P13" s="1">
        <v>44742</v>
      </c>
      <c r="Q13" s="1">
        <f t="shared" si="2"/>
        <v>44562</v>
      </c>
      <c r="R13" s="1">
        <f t="shared" si="3"/>
        <v>44743</v>
      </c>
      <c r="S13" t="s">
        <v>2</v>
      </c>
      <c r="T13" t="s">
        <v>58</v>
      </c>
      <c r="X13" t="b">
        <v>0</v>
      </c>
    </row>
    <row r="14" spans="1:26" x14ac:dyDescent="0.25">
      <c r="A14" t="s">
        <v>287</v>
      </c>
      <c r="J14" s="17">
        <v>2288499</v>
      </c>
      <c r="K14" t="s">
        <v>301</v>
      </c>
      <c r="L14" s="17">
        <v>14495754</v>
      </c>
      <c r="M14" t="s">
        <v>212</v>
      </c>
      <c r="O14" s="1">
        <v>44013</v>
      </c>
      <c r="P14" s="1">
        <v>44742</v>
      </c>
      <c r="Q14" s="1">
        <f t="shared" si="2"/>
        <v>44562</v>
      </c>
      <c r="R14" s="1">
        <f t="shared" si="3"/>
        <v>44743</v>
      </c>
      <c r="S14" t="s">
        <v>2</v>
      </c>
      <c r="T14" t="s">
        <v>58</v>
      </c>
      <c r="X14" t="b">
        <v>0</v>
      </c>
    </row>
    <row r="15" spans="1:26" x14ac:dyDescent="0.25">
      <c r="A15" t="s">
        <v>287</v>
      </c>
      <c r="J15" s="17">
        <v>4818115</v>
      </c>
      <c r="K15" t="s">
        <v>302</v>
      </c>
      <c r="L15" s="17" t="s">
        <v>316</v>
      </c>
      <c r="M15" t="s">
        <v>212</v>
      </c>
      <c r="O15" s="1">
        <v>44013</v>
      </c>
      <c r="P15" s="1">
        <v>44742</v>
      </c>
      <c r="Q15" s="1">
        <f t="shared" si="2"/>
        <v>44562</v>
      </c>
      <c r="R15" s="1">
        <f t="shared" ref="R15" si="4">P15+1</f>
        <v>44743</v>
      </c>
      <c r="S15" t="s">
        <v>2</v>
      </c>
      <c r="T15" t="s">
        <v>58</v>
      </c>
      <c r="X15" t="b">
        <v>0</v>
      </c>
    </row>
    <row r="16" spans="1:26" x14ac:dyDescent="0.25">
      <c r="A16" t="s">
        <v>287</v>
      </c>
      <c r="J16" s="17">
        <v>19268876</v>
      </c>
      <c r="K16" t="s">
        <v>303</v>
      </c>
      <c r="L16" s="17" t="s">
        <v>317</v>
      </c>
      <c r="M16" t="s">
        <v>212</v>
      </c>
      <c r="O16" s="1">
        <v>44070</v>
      </c>
      <c r="P16" s="1">
        <v>44799</v>
      </c>
      <c r="Q16" s="1">
        <f>P16-180</f>
        <v>44619</v>
      </c>
      <c r="R16" s="1">
        <f>P16+1</f>
        <v>44800</v>
      </c>
      <c r="S16" t="s">
        <v>2</v>
      </c>
      <c r="T16" t="s">
        <v>58</v>
      </c>
      <c r="X16" t="b">
        <v>0</v>
      </c>
    </row>
    <row r="17" spans="1:24" x14ac:dyDescent="0.25">
      <c r="A17" t="s">
        <v>287</v>
      </c>
      <c r="J17" s="17">
        <v>19268876</v>
      </c>
      <c r="K17" t="s">
        <v>304</v>
      </c>
      <c r="L17" s="17" t="s">
        <v>318</v>
      </c>
      <c r="M17" t="s">
        <v>212</v>
      </c>
      <c r="O17" s="1">
        <v>44070</v>
      </c>
      <c r="P17" s="1">
        <v>44799</v>
      </c>
      <c r="Q17" s="1">
        <f>P17-180</f>
        <v>44619</v>
      </c>
      <c r="R17" s="1">
        <f>P17+1</f>
        <v>44800</v>
      </c>
      <c r="S17" t="s">
        <v>2</v>
      </c>
      <c r="T17" t="s">
        <v>58</v>
      </c>
      <c r="X17" t="b">
        <v>0</v>
      </c>
    </row>
    <row r="18" spans="1:24" x14ac:dyDescent="0.25">
      <c r="A18" t="s">
        <v>287</v>
      </c>
      <c r="J18" s="17">
        <v>5497111</v>
      </c>
      <c r="K18" t="s">
        <v>305</v>
      </c>
      <c r="L18" s="17">
        <v>18557629</v>
      </c>
      <c r="M18" t="s">
        <v>212</v>
      </c>
      <c r="O18" s="1">
        <v>44013</v>
      </c>
      <c r="P18" s="1">
        <v>44742</v>
      </c>
      <c r="Q18" s="1">
        <f t="shared" ref="Q18:Q26" si="5">P18-180</f>
        <v>44562</v>
      </c>
      <c r="R18" s="1">
        <f t="shared" ref="R18" si="6">P18+1</f>
        <v>44743</v>
      </c>
      <c r="S18" t="s">
        <v>2</v>
      </c>
      <c r="T18" t="s">
        <v>58</v>
      </c>
      <c r="X18" t="b">
        <v>0</v>
      </c>
    </row>
    <row r="19" spans="1:24" x14ac:dyDescent="0.25">
      <c r="A19" t="s">
        <v>287</v>
      </c>
      <c r="J19" s="17">
        <v>4296783</v>
      </c>
      <c r="K19" t="s">
        <v>306</v>
      </c>
      <c r="L19" s="17">
        <v>17507206</v>
      </c>
      <c r="M19" t="s">
        <v>212</v>
      </c>
      <c r="O19" s="1">
        <v>44013</v>
      </c>
      <c r="P19" s="1">
        <v>44742</v>
      </c>
      <c r="Q19" s="1">
        <f t="shared" si="5"/>
        <v>44562</v>
      </c>
      <c r="R19" s="1">
        <f t="shared" ref="R19" si="7">P19+1</f>
        <v>44743</v>
      </c>
      <c r="S19" t="s">
        <v>2</v>
      </c>
      <c r="T19" t="s">
        <v>58</v>
      </c>
      <c r="X19" t="b">
        <v>0</v>
      </c>
    </row>
    <row r="20" spans="1:24" x14ac:dyDescent="0.25">
      <c r="A20" t="s">
        <v>287</v>
      </c>
      <c r="J20" s="17">
        <v>4296783</v>
      </c>
      <c r="K20" t="s">
        <v>307</v>
      </c>
      <c r="L20" s="17">
        <v>18555685</v>
      </c>
      <c r="M20" t="s">
        <v>212</v>
      </c>
      <c r="O20" s="1">
        <v>44013</v>
      </c>
      <c r="P20" s="1">
        <v>44742</v>
      </c>
      <c r="Q20" s="1">
        <f t="shared" si="5"/>
        <v>44562</v>
      </c>
      <c r="R20" s="1">
        <f t="shared" ref="R20" si="8">P20+1</f>
        <v>44743</v>
      </c>
      <c r="S20" t="s">
        <v>2</v>
      </c>
      <c r="T20" t="s">
        <v>58</v>
      </c>
      <c r="X20" t="b">
        <v>0</v>
      </c>
    </row>
    <row r="21" spans="1:24" x14ac:dyDescent="0.25">
      <c r="A21" t="s">
        <v>287</v>
      </c>
      <c r="J21" s="17" t="s">
        <v>293</v>
      </c>
      <c r="K21" t="s">
        <v>308</v>
      </c>
      <c r="L21" s="17">
        <v>17148339</v>
      </c>
      <c r="M21" t="s">
        <v>153</v>
      </c>
      <c r="O21" s="1">
        <v>44013</v>
      </c>
      <c r="P21" s="1">
        <v>44742</v>
      </c>
      <c r="Q21" s="1">
        <f t="shared" si="5"/>
        <v>44562</v>
      </c>
      <c r="R21" s="1">
        <f t="shared" ref="R21:R26" si="9">P21+1</f>
        <v>44743</v>
      </c>
      <c r="S21" t="s">
        <v>2</v>
      </c>
      <c r="T21" t="s">
        <v>19</v>
      </c>
      <c r="X21" t="b">
        <v>0</v>
      </c>
    </row>
    <row r="22" spans="1:24" x14ac:dyDescent="0.25">
      <c r="A22" t="s">
        <v>287</v>
      </c>
      <c r="J22" s="17" t="s">
        <v>293</v>
      </c>
      <c r="K22" t="s">
        <v>309</v>
      </c>
      <c r="L22" s="17">
        <v>18241165</v>
      </c>
      <c r="M22" t="s">
        <v>153</v>
      </c>
      <c r="O22" s="1">
        <v>44013</v>
      </c>
      <c r="P22" s="1">
        <v>44742</v>
      </c>
      <c r="Q22" s="1">
        <f t="shared" si="5"/>
        <v>44562</v>
      </c>
      <c r="R22" s="1">
        <f t="shared" si="9"/>
        <v>44743</v>
      </c>
      <c r="S22" t="s">
        <v>2</v>
      </c>
      <c r="T22" t="s">
        <v>19</v>
      </c>
      <c r="X22" t="b">
        <v>0</v>
      </c>
    </row>
    <row r="23" spans="1:24" x14ac:dyDescent="0.25">
      <c r="A23" t="s">
        <v>287</v>
      </c>
      <c r="J23" s="17" t="s">
        <v>293</v>
      </c>
      <c r="K23" t="s">
        <v>310</v>
      </c>
      <c r="L23" s="17">
        <v>17033282</v>
      </c>
      <c r="M23" t="s">
        <v>153</v>
      </c>
      <c r="O23" s="1">
        <v>44013</v>
      </c>
      <c r="P23" s="1">
        <v>44742</v>
      </c>
      <c r="Q23" s="1">
        <f t="shared" si="5"/>
        <v>44562</v>
      </c>
      <c r="R23" s="1">
        <f t="shared" si="9"/>
        <v>44743</v>
      </c>
      <c r="S23" t="s">
        <v>2</v>
      </c>
      <c r="T23" t="s">
        <v>19</v>
      </c>
      <c r="X23" t="b">
        <v>0</v>
      </c>
    </row>
    <row r="24" spans="1:24" x14ac:dyDescent="0.25">
      <c r="A24" t="s">
        <v>287</v>
      </c>
      <c r="J24" s="17" t="s">
        <v>293</v>
      </c>
      <c r="K24" t="s">
        <v>311</v>
      </c>
      <c r="L24" s="17">
        <v>17056927</v>
      </c>
      <c r="M24" t="s">
        <v>153</v>
      </c>
      <c r="O24" s="1">
        <v>44013</v>
      </c>
      <c r="P24" s="1">
        <v>44742</v>
      </c>
      <c r="Q24" s="1">
        <f t="shared" si="5"/>
        <v>44562</v>
      </c>
      <c r="R24" s="1">
        <f t="shared" si="9"/>
        <v>44743</v>
      </c>
      <c r="S24" t="s">
        <v>2</v>
      </c>
      <c r="T24" t="s">
        <v>19</v>
      </c>
      <c r="X24" t="b">
        <v>0</v>
      </c>
    </row>
    <row r="25" spans="1:24" x14ac:dyDescent="0.25">
      <c r="A25" t="s">
        <v>287</v>
      </c>
      <c r="J25" s="17" t="s">
        <v>293</v>
      </c>
      <c r="K25" t="s">
        <v>312</v>
      </c>
      <c r="L25" s="17">
        <v>17247467</v>
      </c>
      <c r="M25" t="s">
        <v>153</v>
      </c>
      <c r="O25" s="1">
        <v>44013</v>
      </c>
      <c r="P25" s="1">
        <v>44742</v>
      </c>
      <c r="Q25" s="1">
        <f t="shared" si="5"/>
        <v>44562</v>
      </c>
      <c r="R25" s="1">
        <f t="shared" si="9"/>
        <v>44743</v>
      </c>
      <c r="S25" t="s">
        <v>2</v>
      </c>
      <c r="T25" t="s">
        <v>19</v>
      </c>
      <c r="X25" t="b">
        <v>0</v>
      </c>
    </row>
    <row r="26" spans="1:24" x14ac:dyDescent="0.25">
      <c r="A26" t="s">
        <v>287</v>
      </c>
      <c r="J26" s="17" t="s">
        <v>293</v>
      </c>
      <c r="K26" t="s">
        <v>313</v>
      </c>
      <c r="L26" s="17">
        <v>18170761</v>
      </c>
      <c r="M26" t="s">
        <v>153</v>
      </c>
      <c r="O26" s="1">
        <v>44013</v>
      </c>
      <c r="P26" s="1">
        <v>44742</v>
      </c>
      <c r="Q26" s="1">
        <f t="shared" si="5"/>
        <v>44562</v>
      </c>
      <c r="R26" s="1">
        <f t="shared" si="9"/>
        <v>44743</v>
      </c>
      <c r="S26" t="s">
        <v>2</v>
      </c>
      <c r="T26" t="s">
        <v>19</v>
      </c>
      <c r="X26" t="b">
        <v>0</v>
      </c>
    </row>
  </sheetData>
  <phoneticPr fontId="9" type="noConversion"/>
  <conditionalFormatting sqref="L1:L104857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250D36-E1BF-4D14-8FE3-CC8287CE13BD}">
          <x14:formula1>
            <xm:f>'Data fields'!$B$2:$B$9</xm:f>
          </x14:formula1>
          <xm:sqref>S2:S1551</xm:sqref>
        </x14:dataValidation>
        <x14:dataValidation type="list" allowBlank="1" showInputMessage="1" showErrorMessage="1" xr:uid="{E034D73A-39AB-497C-A2C9-3E88BBED3B40}">
          <x14:formula1>
            <xm:f>'Data fields'!$C$2:$C$19</xm:f>
          </x14:formula1>
          <xm:sqref>T2:T1551</xm:sqref>
        </x14:dataValidation>
        <x14:dataValidation type="list" allowBlank="1" showInputMessage="1" showErrorMessage="1" xr:uid="{FE87D79F-1875-46F5-B354-5B0704C69BE5}">
          <x14:formula1>
            <xm:f>'Data fields'!$D$2:$D$3</xm:f>
          </x14:formula1>
          <xm:sqref>X2:X1551</xm:sqref>
        </x14:dataValidation>
        <x14:dataValidation type="list" allowBlank="1" showInputMessage="1" showErrorMessage="1" xr:uid="{47C75FFA-ABF5-4606-A52E-0D1E86EDCAFB}">
          <x14:formula1>
            <xm:f>'Data fields'!$E$2:$E$208</xm:f>
          </x14:formula1>
          <xm:sqref>M2:M1551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42B5-ED47-443D-9C40-ACD84BC3285C}">
  <dimension ref="A1:E208"/>
  <sheetViews>
    <sheetView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15.42578125" bestFit="1" customWidth="1"/>
    <col min="3" max="3" width="40.7109375" bestFit="1" customWidth="1"/>
    <col min="4" max="4" width="20" bestFit="1" customWidth="1"/>
    <col min="5" max="5" width="50.7109375" bestFit="1" customWidth="1"/>
  </cols>
  <sheetData>
    <row r="1" spans="1:5" x14ac:dyDescent="0.25">
      <c r="A1" s="3" t="s">
        <v>38</v>
      </c>
      <c r="B1" s="3" t="s">
        <v>11</v>
      </c>
      <c r="C1" s="3" t="s">
        <v>12</v>
      </c>
      <c r="D1" s="3" t="s">
        <v>16</v>
      </c>
      <c r="E1" s="3" t="s">
        <v>266</v>
      </c>
    </row>
    <row r="2" spans="1:5" x14ac:dyDescent="0.25">
      <c r="A2" t="s">
        <v>22</v>
      </c>
      <c r="B2" t="s">
        <v>2</v>
      </c>
      <c r="C2" t="s">
        <v>45</v>
      </c>
      <c r="D2" t="b">
        <v>1</v>
      </c>
      <c r="E2" t="s">
        <v>193</v>
      </c>
    </row>
    <row r="3" spans="1:5" x14ac:dyDescent="0.25">
      <c r="A3" t="s">
        <v>23</v>
      </c>
      <c r="B3" t="s">
        <v>39</v>
      </c>
      <c r="C3" t="s">
        <v>46</v>
      </c>
      <c r="D3" t="b">
        <v>0</v>
      </c>
      <c r="E3" t="s">
        <v>148</v>
      </c>
    </row>
    <row r="4" spans="1:5" x14ac:dyDescent="0.25">
      <c r="A4" t="s">
        <v>24</v>
      </c>
      <c r="B4" t="s">
        <v>40</v>
      </c>
      <c r="C4" t="s">
        <v>18</v>
      </c>
      <c r="E4" t="s">
        <v>67</v>
      </c>
    </row>
    <row r="5" spans="1:5" x14ac:dyDescent="0.25">
      <c r="A5" t="s">
        <v>25</v>
      </c>
      <c r="B5" t="s">
        <v>41</v>
      </c>
      <c r="C5" t="s">
        <v>19</v>
      </c>
      <c r="E5" t="s">
        <v>134</v>
      </c>
    </row>
    <row r="6" spans="1:5" x14ac:dyDescent="0.25">
      <c r="A6" t="s">
        <v>26</v>
      </c>
      <c r="B6" t="s">
        <v>42</v>
      </c>
      <c r="C6" t="s">
        <v>47</v>
      </c>
      <c r="E6" t="s">
        <v>64</v>
      </c>
    </row>
    <row r="7" spans="1:5" x14ac:dyDescent="0.25">
      <c r="A7" t="s">
        <v>27</v>
      </c>
      <c r="B7" t="s">
        <v>43</v>
      </c>
      <c r="C7" t="s">
        <v>48</v>
      </c>
      <c r="E7" t="s">
        <v>130</v>
      </c>
    </row>
    <row r="8" spans="1:5" x14ac:dyDescent="0.25">
      <c r="A8" t="s">
        <v>28</v>
      </c>
      <c r="B8" t="s">
        <v>0</v>
      </c>
      <c r="C8" t="s">
        <v>49</v>
      </c>
      <c r="E8" t="s">
        <v>191</v>
      </c>
    </row>
    <row r="9" spans="1:5" x14ac:dyDescent="0.25">
      <c r="A9" t="s">
        <v>29</v>
      </c>
      <c r="B9" t="s">
        <v>44</v>
      </c>
      <c r="C9" t="s">
        <v>50</v>
      </c>
      <c r="E9" t="s">
        <v>94</v>
      </c>
    </row>
    <row r="10" spans="1:5" x14ac:dyDescent="0.25">
      <c r="C10" t="s">
        <v>51</v>
      </c>
      <c r="E10" t="s">
        <v>66</v>
      </c>
    </row>
    <row r="11" spans="1:5" x14ac:dyDescent="0.25">
      <c r="C11" t="s">
        <v>53</v>
      </c>
      <c r="E11" t="s">
        <v>65</v>
      </c>
    </row>
    <row r="12" spans="1:5" x14ac:dyDescent="0.25">
      <c r="C12" t="s">
        <v>52</v>
      </c>
      <c r="E12" t="s">
        <v>195</v>
      </c>
    </row>
    <row r="13" spans="1:5" x14ac:dyDescent="0.25">
      <c r="C13" t="s">
        <v>54</v>
      </c>
      <c r="E13" t="s">
        <v>196</v>
      </c>
    </row>
    <row r="14" spans="1:5" x14ac:dyDescent="0.25">
      <c r="C14" t="s">
        <v>55</v>
      </c>
      <c r="E14" t="s">
        <v>68</v>
      </c>
    </row>
    <row r="15" spans="1:5" x14ac:dyDescent="0.25">
      <c r="C15" t="s">
        <v>56</v>
      </c>
      <c r="E15" t="s">
        <v>136</v>
      </c>
    </row>
    <row r="16" spans="1:5" x14ac:dyDescent="0.25">
      <c r="C16" t="s">
        <v>57</v>
      </c>
      <c r="E16" t="s">
        <v>182</v>
      </c>
    </row>
    <row r="17" spans="3:5" x14ac:dyDescent="0.25">
      <c r="C17" t="s">
        <v>58</v>
      </c>
      <c r="E17" t="s">
        <v>220</v>
      </c>
    </row>
    <row r="18" spans="3:5" x14ac:dyDescent="0.25">
      <c r="C18" t="s">
        <v>1</v>
      </c>
      <c r="E18" t="s">
        <v>197</v>
      </c>
    </row>
    <row r="19" spans="3:5" x14ac:dyDescent="0.25">
      <c r="C19" t="s">
        <v>59</v>
      </c>
      <c r="E19" t="s">
        <v>198</v>
      </c>
    </row>
    <row r="20" spans="3:5" x14ac:dyDescent="0.25">
      <c r="E20" t="s">
        <v>199</v>
      </c>
    </row>
    <row r="21" spans="3:5" x14ac:dyDescent="0.25">
      <c r="E21" t="s">
        <v>69</v>
      </c>
    </row>
    <row r="22" spans="3:5" x14ac:dyDescent="0.25">
      <c r="E22" t="s">
        <v>60</v>
      </c>
    </row>
    <row r="23" spans="3:5" x14ac:dyDescent="0.25">
      <c r="E23" t="s">
        <v>70</v>
      </c>
    </row>
    <row r="24" spans="3:5" x14ac:dyDescent="0.25">
      <c r="E24" t="s">
        <v>187</v>
      </c>
    </row>
    <row r="25" spans="3:5" x14ac:dyDescent="0.25">
      <c r="E25" t="s">
        <v>225</v>
      </c>
    </row>
    <row r="26" spans="3:5" x14ac:dyDescent="0.25">
      <c r="E26" t="s">
        <v>173</v>
      </c>
    </row>
    <row r="27" spans="3:5" x14ac:dyDescent="0.25">
      <c r="E27" t="s">
        <v>188</v>
      </c>
    </row>
    <row r="28" spans="3:5" x14ac:dyDescent="0.25">
      <c r="E28" t="s">
        <v>224</v>
      </c>
    </row>
    <row r="29" spans="3:5" x14ac:dyDescent="0.25">
      <c r="E29" t="s">
        <v>200</v>
      </c>
    </row>
    <row r="30" spans="3:5" x14ac:dyDescent="0.25">
      <c r="E30" t="s">
        <v>71</v>
      </c>
    </row>
    <row r="31" spans="3:5" x14ac:dyDescent="0.25">
      <c r="E31" t="s">
        <v>165</v>
      </c>
    </row>
    <row r="32" spans="3:5" x14ac:dyDescent="0.25">
      <c r="E32" t="s">
        <v>72</v>
      </c>
    </row>
    <row r="33" spans="5:5" x14ac:dyDescent="0.25">
      <c r="E33" t="s">
        <v>73</v>
      </c>
    </row>
    <row r="34" spans="5:5" x14ac:dyDescent="0.25">
      <c r="E34" t="s">
        <v>74</v>
      </c>
    </row>
    <row r="35" spans="5:5" x14ac:dyDescent="0.25">
      <c r="E35" t="s">
        <v>183</v>
      </c>
    </row>
    <row r="36" spans="5:5" x14ac:dyDescent="0.25">
      <c r="E36" t="s">
        <v>226</v>
      </c>
    </row>
    <row r="37" spans="5:5" x14ac:dyDescent="0.25">
      <c r="E37" t="s">
        <v>201</v>
      </c>
    </row>
    <row r="38" spans="5:5" x14ac:dyDescent="0.25">
      <c r="E38" t="s">
        <v>122</v>
      </c>
    </row>
    <row r="39" spans="5:5" x14ac:dyDescent="0.25">
      <c r="E39" t="s">
        <v>232</v>
      </c>
    </row>
    <row r="40" spans="5:5" x14ac:dyDescent="0.25">
      <c r="E40" t="s">
        <v>233</v>
      </c>
    </row>
    <row r="41" spans="5:5" x14ac:dyDescent="0.25">
      <c r="E41" t="s">
        <v>231</v>
      </c>
    </row>
    <row r="42" spans="5:5" x14ac:dyDescent="0.25">
      <c r="E42" t="s">
        <v>202</v>
      </c>
    </row>
    <row r="43" spans="5:5" x14ac:dyDescent="0.25">
      <c r="E43" t="s">
        <v>75</v>
      </c>
    </row>
    <row r="44" spans="5:5" x14ac:dyDescent="0.25">
      <c r="E44" t="s">
        <v>139</v>
      </c>
    </row>
    <row r="45" spans="5:5" x14ac:dyDescent="0.25">
      <c r="E45" t="s">
        <v>227</v>
      </c>
    </row>
    <row r="46" spans="5:5" x14ac:dyDescent="0.25">
      <c r="E46" t="s">
        <v>76</v>
      </c>
    </row>
    <row r="47" spans="5:5" x14ac:dyDescent="0.25">
      <c r="E47" t="s">
        <v>203</v>
      </c>
    </row>
    <row r="48" spans="5:5" x14ac:dyDescent="0.25">
      <c r="E48" t="s">
        <v>140</v>
      </c>
    </row>
    <row r="49" spans="5:5" x14ac:dyDescent="0.25">
      <c r="E49" t="s">
        <v>186</v>
      </c>
    </row>
    <row r="50" spans="5:5" x14ac:dyDescent="0.25">
      <c r="E50" t="s">
        <v>157</v>
      </c>
    </row>
    <row r="51" spans="5:5" x14ac:dyDescent="0.25">
      <c r="E51" t="s">
        <v>125</v>
      </c>
    </row>
    <row r="52" spans="5:5" x14ac:dyDescent="0.25">
      <c r="E52" t="s">
        <v>229</v>
      </c>
    </row>
    <row r="53" spans="5:5" x14ac:dyDescent="0.25">
      <c r="E53" t="s">
        <v>228</v>
      </c>
    </row>
    <row r="54" spans="5:5" x14ac:dyDescent="0.25">
      <c r="E54" t="s">
        <v>204</v>
      </c>
    </row>
    <row r="55" spans="5:5" x14ac:dyDescent="0.25">
      <c r="E55" t="s">
        <v>124</v>
      </c>
    </row>
    <row r="56" spans="5:5" x14ac:dyDescent="0.25">
      <c r="E56" t="s">
        <v>106</v>
      </c>
    </row>
    <row r="57" spans="5:5" x14ac:dyDescent="0.25">
      <c r="E57" t="s">
        <v>170</v>
      </c>
    </row>
    <row r="58" spans="5:5" x14ac:dyDescent="0.25">
      <c r="E58" t="s">
        <v>205</v>
      </c>
    </row>
    <row r="59" spans="5:5" x14ac:dyDescent="0.25">
      <c r="E59" t="s">
        <v>171</v>
      </c>
    </row>
    <row r="60" spans="5:5" x14ac:dyDescent="0.25">
      <c r="E60" t="s">
        <v>146</v>
      </c>
    </row>
    <row r="61" spans="5:5" x14ac:dyDescent="0.25">
      <c r="E61" t="s">
        <v>144</v>
      </c>
    </row>
    <row r="62" spans="5:5" x14ac:dyDescent="0.25">
      <c r="E62" t="s">
        <v>141</v>
      </c>
    </row>
    <row r="63" spans="5:5" x14ac:dyDescent="0.25">
      <c r="E63" t="s">
        <v>137</v>
      </c>
    </row>
    <row r="64" spans="5:5" x14ac:dyDescent="0.25">
      <c r="E64" t="s">
        <v>160</v>
      </c>
    </row>
    <row r="65" spans="5:5" x14ac:dyDescent="0.25">
      <c r="E65" t="s">
        <v>102</v>
      </c>
    </row>
    <row r="66" spans="5:5" x14ac:dyDescent="0.25">
      <c r="E66" t="s">
        <v>121</v>
      </c>
    </row>
    <row r="67" spans="5:5" x14ac:dyDescent="0.25">
      <c r="E67" t="s">
        <v>164</v>
      </c>
    </row>
    <row r="68" spans="5:5" x14ac:dyDescent="0.25">
      <c r="E68" t="s">
        <v>117</v>
      </c>
    </row>
    <row r="69" spans="5:5" x14ac:dyDescent="0.25">
      <c r="E69" t="s">
        <v>135</v>
      </c>
    </row>
    <row r="70" spans="5:5" x14ac:dyDescent="0.25">
      <c r="E70" t="s">
        <v>126</v>
      </c>
    </row>
    <row r="71" spans="5:5" x14ac:dyDescent="0.25">
      <c r="E71" t="s">
        <v>129</v>
      </c>
    </row>
    <row r="72" spans="5:5" x14ac:dyDescent="0.25">
      <c r="E72" t="s">
        <v>103</v>
      </c>
    </row>
    <row r="73" spans="5:5" x14ac:dyDescent="0.25">
      <c r="E73" t="s">
        <v>111</v>
      </c>
    </row>
    <row r="74" spans="5:5" x14ac:dyDescent="0.25">
      <c r="E74" t="s">
        <v>138</v>
      </c>
    </row>
    <row r="75" spans="5:5" x14ac:dyDescent="0.25">
      <c r="E75" t="s">
        <v>206</v>
      </c>
    </row>
    <row r="76" spans="5:5" x14ac:dyDescent="0.25">
      <c r="E76" t="s">
        <v>207</v>
      </c>
    </row>
    <row r="77" spans="5:5" x14ac:dyDescent="0.25">
      <c r="E77" t="s">
        <v>97</v>
      </c>
    </row>
    <row r="78" spans="5:5" x14ac:dyDescent="0.25">
      <c r="E78" t="s">
        <v>98</v>
      </c>
    </row>
    <row r="79" spans="5:5" x14ac:dyDescent="0.25">
      <c r="E79" t="s">
        <v>77</v>
      </c>
    </row>
    <row r="80" spans="5:5" x14ac:dyDescent="0.25">
      <c r="E80" t="s">
        <v>96</v>
      </c>
    </row>
    <row r="81" spans="5:5" x14ac:dyDescent="0.25">
      <c r="E81" t="s">
        <v>112</v>
      </c>
    </row>
    <row r="82" spans="5:5" x14ac:dyDescent="0.25">
      <c r="E82" t="s">
        <v>166</v>
      </c>
    </row>
    <row r="83" spans="5:5" x14ac:dyDescent="0.25">
      <c r="E83" t="s">
        <v>109</v>
      </c>
    </row>
    <row r="84" spans="5:5" x14ac:dyDescent="0.25">
      <c r="E84" t="s">
        <v>208</v>
      </c>
    </row>
    <row r="85" spans="5:5" x14ac:dyDescent="0.25">
      <c r="E85" t="s">
        <v>234</v>
      </c>
    </row>
    <row r="86" spans="5:5" x14ac:dyDescent="0.25">
      <c r="E86" t="s">
        <v>142</v>
      </c>
    </row>
    <row r="87" spans="5:5" x14ac:dyDescent="0.25">
      <c r="E87" t="s">
        <v>209</v>
      </c>
    </row>
    <row r="88" spans="5:5" x14ac:dyDescent="0.25">
      <c r="E88" t="s">
        <v>105</v>
      </c>
    </row>
    <row r="89" spans="5:5" x14ac:dyDescent="0.25">
      <c r="E89" t="s">
        <v>88</v>
      </c>
    </row>
    <row r="90" spans="5:5" x14ac:dyDescent="0.25">
      <c r="E90" t="s">
        <v>210</v>
      </c>
    </row>
    <row r="91" spans="5:5" x14ac:dyDescent="0.25">
      <c r="E91" t="s">
        <v>167</v>
      </c>
    </row>
    <row r="92" spans="5:5" x14ac:dyDescent="0.25">
      <c r="E92" t="s">
        <v>235</v>
      </c>
    </row>
    <row r="93" spans="5:5" x14ac:dyDescent="0.25">
      <c r="E93" t="s">
        <v>174</v>
      </c>
    </row>
    <row r="94" spans="5:5" x14ac:dyDescent="0.25">
      <c r="E94" t="s">
        <v>78</v>
      </c>
    </row>
    <row r="95" spans="5:5" x14ac:dyDescent="0.25">
      <c r="E95" t="s">
        <v>244</v>
      </c>
    </row>
    <row r="96" spans="5:5" x14ac:dyDescent="0.25">
      <c r="E96" t="s">
        <v>251</v>
      </c>
    </row>
    <row r="97" spans="5:5" x14ac:dyDescent="0.25">
      <c r="E97" t="s">
        <v>253</v>
      </c>
    </row>
    <row r="98" spans="5:5" x14ac:dyDescent="0.25">
      <c r="E98" t="s">
        <v>254</v>
      </c>
    </row>
    <row r="99" spans="5:5" x14ac:dyDescent="0.25">
      <c r="E99" t="s">
        <v>250</v>
      </c>
    </row>
    <row r="100" spans="5:5" x14ac:dyDescent="0.25">
      <c r="E100" t="s">
        <v>252</v>
      </c>
    </row>
    <row r="101" spans="5:5" x14ac:dyDescent="0.25">
      <c r="E101" t="s">
        <v>249</v>
      </c>
    </row>
    <row r="102" spans="5:5" x14ac:dyDescent="0.25">
      <c r="E102" t="s">
        <v>49</v>
      </c>
    </row>
    <row r="103" spans="5:5" x14ac:dyDescent="0.25">
      <c r="E103" t="s">
        <v>177</v>
      </c>
    </row>
    <row r="104" spans="5:5" x14ac:dyDescent="0.25">
      <c r="E104" t="s">
        <v>168</v>
      </c>
    </row>
    <row r="105" spans="5:5" x14ac:dyDescent="0.25">
      <c r="E105" t="s">
        <v>161</v>
      </c>
    </row>
    <row r="106" spans="5:5" x14ac:dyDescent="0.25">
      <c r="E106" t="s">
        <v>50</v>
      </c>
    </row>
    <row r="107" spans="5:5" x14ac:dyDescent="0.25">
      <c r="E107" t="s">
        <v>115</v>
      </c>
    </row>
    <row r="108" spans="5:5" x14ac:dyDescent="0.25">
      <c r="E108" t="s">
        <v>63</v>
      </c>
    </row>
    <row r="109" spans="5:5" x14ac:dyDescent="0.25">
      <c r="E109" t="s">
        <v>159</v>
      </c>
    </row>
    <row r="110" spans="5:5" x14ac:dyDescent="0.25">
      <c r="E110" t="s">
        <v>95</v>
      </c>
    </row>
    <row r="111" spans="5:5" x14ac:dyDescent="0.25">
      <c r="E111" t="s">
        <v>158</v>
      </c>
    </row>
    <row r="112" spans="5:5" x14ac:dyDescent="0.25">
      <c r="E112" t="s">
        <v>62</v>
      </c>
    </row>
    <row r="113" spans="5:5" x14ac:dyDescent="0.25">
      <c r="E113" t="s">
        <v>192</v>
      </c>
    </row>
    <row r="114" spans="5:5" x14ac:dyDescent="0.25">
      <c r="E114" t="s">
        <v>211</v>
      </c>
    </row>
    <row r="115" spans="5:5" x14ac:dyDescent="0.25">
      <c r="E115" t="s">
        <v>143</v>
      </c>
    </row>
    <row r="116" spans="5:5" x14ac:dyDescent="0.25">
      <c r="E116" t="s">
        <v>107</v>
      </c>
    </row>
    <row r="117" spans="5:5" x14ac:dyDescent="0.25">
      <c r="E117" t="s">
        <v>179</v>
      </c>
    </row>
    <row r="118" spans="5:5" x14ac:dyDescent="0.25">
      <c r="E118" t="s">
        <v>79</v>
      </c>
    </row>
    <row r="119" spans="5:5" x14ac:dyDescent="0.25">
      <c r="E119" t="s">
        <v>80</v>
      </c>
    </row>
    <row r="120" spans="5:5" x14ac:dyDescent="0.25">
      <c r="E120" t="s">
        <v>178</v>
      </c>
    </row>
    <row r="121" spans="5:5" x14ac:dyDescent="0.25">
      <c r="E121" t="s">
        <v>230</v>
      </c>
    </row>
    <row r="122" spans="5:5" x14ac:dyDescent="0.25">
      <c r="E122" t="s">
        <v>81</v>
      </c>
    </row>
    <row r="123" spans="5:5" x14ac:dyDescent="0.25">
      <c r="E123" t="s">
        <v>113</v>
      </c>
    </row>
    <row r="124" spans="5:5" x14ac:dyDescent="0.25">
      <c r="E124" t="s">
        <v>114</v>
      </c>
    </row>
    <row r="125" spans="5:5" x14ac:dyDescent="0.25">
      <c r="E125" t="s">
        <v>185</v>
      </c>
    </row>
    <row r="126" spans="5:5" x14ac:dyDescent="0.25">
      <c r="E126" t="s">
        <v>149</v>
      </c>
    </row>
    <row r="127" spans="5:5" x14ac:dyDescent="0.25">
      <c r="E127" t="s">
        <v>156</v>
      </c>
    </row>
    <row r="128" spans="5:5" x14ac:dyDescent="0.25">
      <c r="E128" t="s">
        <v>93</v>
      </c>
    </row>
    <row r="129" spans="5:5" x14ac:dyDescent="0.25">
      <c r="E129" t="s">
        <v>152</v>
      </c>
    </row>
    <row r="130" spans="5:5" x14ac:dyDescent="0.25">
      <c r="E130" t="s">
        <v>91</v>
      </c>
    </row>
    <row r="131" spans="5:5" x14ac:dyDescent="0.25">
      <c r="E131" t="s">
        <v>151</v>
      </c>
    </row>
    <row r="132" spans="5:5" x14ac:dyDescent="0.25">
      <c r="E132" t="s">
        <v>153</v>
      </c>
    </row>
    <row r="133" spans="5:5" x14ac:dyDescent="0.25">
      <c r="E133" t="s">
        <v>92</v>
      </c>
    </row>
    <row r="134" spans="5:5" x14ac:dyDescent="0.25">
      <c r="E134" t="s">
        <v>212</v>
      </c>
    </row>
    <row r="135" spans="5:5" x14ac:dyDescent="0.25">
      <c r="E135" t="s">
        <v>110</v>
      </c>
    </row>
    <row r="136" spans="5:5" x14ac:dyDescent="0.25">
      <c r="E136" t="s">
        <v>213</v>
      </c>
    </row>
    <row r="137" spans="5:5" x14ac:dyDescent="0.25">
      <c r="E137" t="s">
        <v>172</v>
      </c>
    </row>
    <row r="138" spans="5:5" x14ac:dyDescent="0.25">
      <c r="E138" t="s">
        <v>236</v>
      </c>
    </row>
    <row r="139" spans="5:5" x14ac:dyDescent="0.25">
      <c r="E139" t="s">
        <v>118</v>
      </c>
    </row>
    <row r="140" spans="5:5" x14ac:dyDescent="0.25">
      <c r="E140" t="s">
        <v>214</v>
      </c>
    </row>
    <row r="141" spans="5:5" x14ac:dyDescent="0.25">
      <c r="E141" t="s">
        <v>147</v>
      </c>
    </row>
    <row r="142" spans="5:5" x14ac:dyDescent="0.25">
      <c r="E142" t="s">
        <v>215</v>
      </c>
    </row>
    <row r="143" spans="5:5" x14ac:dyDescent="0.25">
      <c r="E143" t="s">
        <v>116</v>
      </c>
    </row>
    <row r="144" spans="5:5" x14ac:dyDescent="0.25">
      <c r="E144" t="s">
        <v>145</v>
      </c>
    </row>
    <row r="145" spans="5:5" x14ac:dyDescent="0.25">
      <c r="E145" t="s">
        <v>108</v>
      </c>
    </row>
    <row r="146" spans="5:5" x14ac:dyDescent="0.25">
      <c r="E146" t="s">
        <v>216</v>
      </c>
    </row>
    <row r="147" spans="5:5" x14ac:dyDescent="0.25">
      <c r="E147" t="s">
        <v>217</v>
      </c>
    </row>
    <row r="148" spans="5:5" x14ac:dyDescent="0.25">
      <c r="E148" t="s">
        <v>150</v>
      </c>
    </row>
    <row r="149" spans="5:5" x14ac:dyDescent="0.25">
      <c r="E149" t="s">
        <v>99</v>
      </c>
    </row>
    <row r="150" spans="5:5" x14ac:dyDescent="0.25">
      <c r="E150" t="s">
        <v>120</v>
      </c>
    </row>
    <row r="151" spans="5:5" x14ac:dyDescent="0.25">
      <c r="E151" t="s">
        <v>169</v>
      </c>
    </row>
    <row r="152" spans="5:5" x14ac:dyDescent="0.25">
      <c r="E152" t="s">
        <v>219</v>
      </c>
    </row>
    <row r="153" spans="5:5" x14ac:dyDescent="0.25">
      <c r="E153" t="s">
        <v>175</v>
      </c>
    </row>
    <row r="154" spans="5:5" x14ac:dyDescent="0.25">
      <c r="E154" t="s">
        <v>163</v>
      </c>
    </row>
    <row r="155" spans="5:5" x14ac:dyDescent="0.25">
      <c r="E155" t="s">
        <v>82</v>
      </c>
    </row>
    <row r="156" spans="5:5" x14ac:dyDescent="0.25">
      <c r="E156" t="s">
        <v>89</v>
      </c>
    </row>
    <row r="157" spans="5:5" x14ac:dyDescent="0.25">
      <c r="E157" t="s">
        <v>119</v>
      </c>
    </row>
    <row r="158" spans="5:5" x14ac:dyDescent="0.25">
      <c r="E158" t="s">
        <v>90</v>
      </c>
    </row>
    <row r="159" spans="5:5" x14ac:dyDescent="0.25">
      <c r="E159" t="s">
        <v>83</v>
      </c>
    </row>
    <row r="160" spans="5:5" x14ac:dyDescent="0.25">
      <c r="E160" t="s">
        <v>131</v>
      </c>
    </row>
    <row r="161" spans="5:5" x14ac:dyDescent="0.25">
      <c r="E161" t="s">
        <v>132</v>
      </c>
    </row>
    <row r="162" spans="5:5" x14ac:dyDescent="0.25">
      <c r="E162" t="s">
        <v>100</v>
      </c>
    </row>
    <row r="163" spans="5:5" x14ac:dyDescent="0.25">
      <c r="E163" t="s">
        <v>84</v>
      </c>
    </row>
    <row r="164" spans="5:5" x14ac:dyDescent="0.25">
      <c r="E164" t="s">
        <v>246</v>
      </c>
    </row>
    <row r="165" spans="5:5" x14ac:dyDescent="0.25">
      <c r="E165" t="s">
        <v>85</v>
      </c>
    </row>
    <row r="166" spans="5:5" x14ac:dyDescent="0.25">
      <c r="E166" t="s">
        <v>127</v>
      </c>
    </row>
    <row r="167" spans="5:5" x14ac:dyDescent="0.25">
      <c r="E167" t="s">
        <v>222</v>
      </c>
    </row>
    <row r="168" spans="5:5" x14ac:dyDescent="0.25">
      <c r="E168" t="s">
        <v>154</v>
      </c>
    </row>
    <row r="169" spans="5:5" x14ac:dyDescent="0.25">
      <c r="E169" t="s">
        <v>128</v>
      </c>
    </row>
    <row r="170" spans="5:5" x14ac:dyDescent="0.25">
      <c r="E170" t="s">
        <v>133</v>
      </c>
    </row>
    <row r="171" spans="5:5" x14ac:dyDescent="0.25">
      <c r="E171" t="s">
        <v>223</v>
      </c>
    </row>
    <row r="172" spans="5:5" x14ac:dyDescent="0.25">
      <c r="E172" t="s">
        <v>247</v>
      </c>
    </row>
    <row r="173" spans="5:5" x14ac:dyDescent="0.25">
      <c r="E173" t="s">
        <v>86</v>
      </c>
    </row>
    <row r="174" spans="5:5" x14ac:dyDescent="0.25">
      <c r="E174" t="s">
        <v>245</v>
      </c>
    </row>
    <row r="175" spans="5:5" x14ac:dyDescent="0.25">
      <c r="E175" t="s">
        <v>237</v>
      </c>
    </row>
    <row r="176" spans="5:5" x14ac:dyDescent="0.25">
      <c r="E176" t="s">
        <v>218</v>
      </c>
    </row>
    <row r="177" spans="5:5" x14ac:dyDescent="0.25">
      <c r="E177" t="s">
        <v>123</v>
      </c>
    </row>
    <row r="178" spans="5:5" x14ac:dyDescent="0.25">
      <c r="E178" t="s">
        <v>194</v>
      </c>
    </row>
    <row r="179" spans="5:5" x14ac:dyDescent="0.25">
      <c r="E179" t="s">
        <v>104</v>
      </c>
    </row>
    <row r="180" spans="5:5" x14ac:dyDescent="0.25">
      <c r="E180" t="s">
        <v>189</v>
      </c>
    </row>
    <row r="181" spans="5:5" x14ac:dyDescent="0.25">
      <c r="E181" t="s">
        <v>255</v>
      </c>
    </row>
    <row r="182" spans="5:5" x14ac:dyDescent="0.25">
      <c r="E182" t="s">
        <v>238</v>
      </c>
    </row>
    <row r="183" spans="5:5" x14ac:dyDescent="0.25">
      <c r="E183" t="s">
        <v>239</v>
      </c>
    </row>
    <row r="184" spans="5:5" x14ac:dyDescent="0.25">
      <c r="E184" t="s">
        <v>264</v>
      </c>
    </row>
    <row r="185" spans="5:5" x14ac:dyDescent="0.25">
      <c r="E185" t="s">
        <v>256</v>
      </c>
    </row>
    <row r="186" spans="5:5" x14ac:dyDescent="0.25">
      <c r="E186" t="s">
        <v>241</v>
      </c>
    </row>
    <row r="187" spans="5:5" x14ac:dyDescent="0.25">
      <c r="E187" t="s">
        <v>265</v>
      </c>
    </row>
    <row r="188" spans="5:5" x14ac:dyDescent="0.25">
      <c r="E188" t="s">
        <v>259</v>
      </c>
    </row>
    <row r="189" spans="5:5" x14ac:dyDescent="0.25">
      <c r="E189" t="s">
        <v>257</v>
      </c>
    </row>
    <row r="190" spans="5:5" x14ac:dyDescent="0.25">
      <c r="E190" t="s">
        <v>258</v>
      </c>
    </row>
    <row r="191" spans="5:5" x14ac:dyDescent="0.25">
      <c r="E191" t="s">
        <v>260</v>
      </c>
    </row>
    <row r="192" spans="5:5" x14ac:dyDescent="0.25">
      <c r="E192" t="s">
        <v>240</v>
      </c>
    </row>
    <row r="193" spans="5:5" x14ac:dyDescent="0.25">
      <c r="E193" t="s">
        <v>243</v>
      </c>
    </row>
    <row r="194" spans="5:5" x14ac:dyDescent="0.25">
      <c r="E194" t="s">
        <v>261</v>
      </c>
    </row>
    <row r="195" spans="5:5" x14ac:dyDescent="0.25">
      <c r="E195" t="s">
        <v>262</v>
      </c>
    </row>
    <row r="196" spans="5:5" x14ac:dyDescent="0.25">
      <c r="E196" t="s">
        <v>263</v>
      </c>
    </row>
    <row r="197" spans="5:5" x14ac:dyDescent="0.25">
      <c r="E197" t="s">
        <v>242</v>
      </c>
    </row>
    <row r="198" spans="5:5" x14ac:dyDescent="0.25">
      <c r="E198" t="s">
        <v>101</v>
      </c>
    </row>
    <row r="199" spans="5:5" x14ac:dyDescent="0.25">
      <c r="E199" t="s">
        <v>221</v>
      </c>
    </row>
    <row r="200" spans="5:5" x14ac:dyDescent="0.25">
      <c r="E200" t="s">
        <v>180</v>
      </c>
    </row>
    <row r="201" spans="5:5" x14ac:dyDescent="0.25">
      <c r="E201" t="s">
        <v>87</v>
      </c>
    </row>
    <row r="202" spans="5:5" x14ac:dyDescent="0.25">
      <c r="E202" t="s">
        <v>184</v>
      </c>
    </row>
    <row r="203" spans="5:5" x14ac:dyDescent="0.25">
      <c r="E203" t="s">
        <v>181</v>
      </c>
    </row>
    <row r="204" spans="5:5" x14ac:dyDescent="0.25">
      <c r="E204" t="s">
        <v>248</v>
      </c>
    </row>
    <row r="205" spans="5:5" x14ac:dyDescent="0.25">
      <c r="E205" t="s">
        <v>190</v>
      </c>
    </row>
    <row r="206" spans="5:5" x14ac:dyDescent="0.25">
      <c r="E206" t="s">
        <v>162</v>
      </c>
    </row>
    <row r="207" spans="5:5" x14ac:dyDescent="0.25">
      <c r="E207" t="s">
        <v>155</v>
      </c>
    </row>
    <row r="208" spans="5:5" x14ac:dyDescent="0.25">
      <c r="E208" t="s">
        <v>176</v>
      </c>
    </row>
  </sheetData>
  <sortState xmlns:xlrd2="http://schemas.microsoft.com/office/spreadsheetml/2017/richdata2" ref="E2:E208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Contracts</vt:lpstr>
      <vt:lpstr>Data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Misso</dc:creator>
  <cp:lastModifiedBy>trevorh</cp:lastModifiedBy>
  <dcterms:created xsi:type="dcterms:W3CDTF">2020-04-08T23:28:05Z</dcterms:created>
  <dcterms:modified xsi:type="dcterms:W3CDTF">2021-05-27T05:24:32Z</dcterms:modified>
</cp:coreProperties>
</file>